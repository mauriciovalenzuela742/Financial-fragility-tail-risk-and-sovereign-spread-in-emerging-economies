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zpomares\Desktop\"/>
    </mc:Choice>
  </mc:AlternateContent>
  <bookViews>
    <workbookView xWindow="0" yWindow="0" windowWidth="21570" windowHeight="10215"/>
  </bookViews>
  <sheets>
    <sheet name="Page1_1" sheetId="1" r:id="rId1"/>
  </sheets>
  <calcPr calcId="152511"/>
  <webPublishing codePage="1252"/>
</workbook>
</file>

<file path=xl/calcChain.xml><?xml version="1.0" encoding="utf-8"?>
<calcChain xmlns="http://schemas.openxmlformats.org/spreadsheetml/2006/main">
  <c r="P12" i="1" l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11" i="1"/>
</calcChain>
</file>

<file path=xl/sharedStrings.xml><?xml version="1.0" encoding="utf-8"?>
<sst xmlns="http://schemas.openxmlformats.org/spreadsheetml/2006/main" count="43" uniqueCount="40">
  <si>
    <t xml:space="preserve"> </t>
  </si>
  <si>
    <t xml:space="preserve">  MULTIBANK INC.</t>
  </si>
  <si>
    <t>ESTADO DE RESULTADO
DE DICIEMBRE 2019 A DICIEMBRE 2020
( En Miles de Balboas)</t>
  </si>
  <si>
    <t>259</t>
  </si>
  <si>
    <t>2020</t>
  </si>
  <si>
    <t>ACUMULADO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</si>
  <si>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</si>
  <si>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</si>
  <si>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</si>
  <si>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</si>
  <si>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</si>
  <si>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</si>
  <si>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</si>
  <si>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</si>
  <si>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</si>
  <si>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</si>
  <si>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</si>
  <si>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</si>
  <si>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 Por Intereses</t>
  </si>
  <si>
    <t xml:space="preserve">     Préstamos</t>
  </si>
  <si>
    <t xml:space="preserve">     Depósitos</t>
  </si>
  <si>
    <t xml:space="preserve">     Inversiones</t>
  </si>
  <si>
    <t xml:space="preserve">     Arrendamiento Financiero</t>
  </si>
  <si>
    <t xml:space="preserve">     Otros Ingresos</t>
  </si>
  <si>
    <t>Egresos de Operaciones</t>
  </si>
  <si>
    <t xml:space="preserve">     Intereses Pagados</t>
  </si>
  <si>
    <t xml:space="preserve">     Comisiones</t>
  </si>
  <si>
    <t>Ingreso Neto de Intereses</t>
  </si>
  <si>
    <t>Otros Ingresos</t>
  </si>
  <si>
    <t xml:space="preserve">     Operaciones con Divisas</t>
  </si>
  <si>
    <t xml:space="preserve">     Dividendos</t>
  </si>
  <si>
    <t>Ingresos de Operaciones</t>
  </si>
  <si>
    <t>Egresos Generales</t>
  </si>
  <si>
    <t xml:space="preserve">     Gastos Administrativos</t>
  </si>
  <si>
    <t xml:space="preserve">     Gastos Generales</t>
  </si>
  <si>
    <t xml:space="preserve">     Gastos de Depreciación</t>
  </si>
  <si>
    <t xml:space="preserve">     Otros Gastos</t>
  </si>
  <si>
    <t>Utilidad antes de Provisiones</t>
  </si>
  <si>
    <t xml:space="preserve">     Provisiones por Cuentas Malas</t>
  </si>
  <si>
    <t>Utilidad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</si>
</sst>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#,##0.00;\(#,##0.00\);\0\.\0\0"/>
  </numFmts>
  <fonts count="9" x14ac:knownFonts="1">
    <font>
      <sz val="10"/>
      <color theme="1"/>
      <name val="Tahoma"/>
      <family val="2"/>
    </font>
    <font>
      <sz val="10"/>
      <color theme="1"/>
      <name val="Tahoma"/>
      <family val="2"/>
    </font>
    <font>
      <b/>
      <sz val="12"/>
      <color rgb="FFFFFFFF"/>
      <name val="Tahoma"/>
      <family val="2"/>
    </font>
    <font>
      <b/>
      <sz val="12"/>
      <color rgb="FFFFFFFF"/>
      <name val="Arial"/>
      <family val="2"/>
    </font>
    <font>
      <b/>
      <sz val="1"/>
      <color rgb="FFFFFFFF"/>
      <name val="Tahoma"/>
      <family val="2"/>
    </font>
    <font>
      <b/>
      <sz val="8"/>
      <color theme="1"/>
      <name val="Tahoma"/>
      <family val="2"/>
    </font>
    <font>
      <sz val="8"/>
      <color theme="1"/>
      <name val="Arial"/>
      <family val="2"/>
    </font>
    <font>
      <sz val="8"/>
      <color theme="1"/>
      <name val="Tahoma"/>
      <family val="2"/>
    </font>
    <font>
      <sz val="7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BFD2E2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rgb="FFCFCFCF"/>
      </top>
      <bottom/>
      <diagonal/>
    </border>
    <border>
      <left/>
      <right style="medium">
        <color rgb="FFCFCFCF"/>
      </right>
      <top style="medium">
        <color rgb="FFCFCFCF"/>
      </top>
      <bottom/>
      <diagonal/>
    </border>
    <border>
      <left style="medium">
        <color rgb="FFCFCFCF"/>
      </left>
      <right/>
      <top/>
      <bottom style="medium">
        <color rgb="FFCFCFCF"/>
      </bottom>
      <diagonal/>
    </border>
    <border>
      <left/>
      <right/>
      <top/>
      <bottom style="medium">
        <color rgb="FFCFCFCF"/>
      </bottom>
      <diagonal/>
    </border>
    <border>
      <left/>
      <right style="medium">
        <color rgb="FFCFCFCF"/>
      </right>
      <top/>
      <bottom style="medium">
        <color rgb="FFCFCFCF"/>
      </bottom>
      <diagonal/>
    </border>
    <border>
      <left style="medium">
        <color rgb="FFCFCFCF"/>
      </left>
      <right style="medium">
        <color rgb="FFCFCFCF"/>
      </right>
      <top style="medium">
        <color rgb="FFCFCFCF"/>
      </top>
      <bottom style="medium">
        <color rgb="FFCFCFCF"/>
      </bottom>
      <diagonal/>
    </border>
    <border>
      <left/>
      <right/>
      <top style="medium">
        <color rgb="FF93B1CD"/>
      </top>
      <bottom style="medium">
        <color rgb="FF93B1CD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/>
      <right/>
      <top/>
      <bottom style="medium">
        <color rgb="FF93B1CD"/>
      </bottom>
      <diagonal/>
    </border>
    <border>
      <left/>
      <right style="medium">
        <color rgb="FF93B1CD"/>
      </right>
      <top/>
      <bottom style="medium">
        <color rgb="FF93B1CD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3" borderId="11" xfId="0" applyFont="1" applyFill="1" applyBorder="1" applyAlignment="1">
      <alignment horizontal="center" vertical="top"/>
    </xf>
    <xf numFmtId="165" fontId="7" fillId="0" borderId="14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0" fillId="0" borderId="1" xfId="0" applyBorder="1"/>
    <xf numFmtId="0" fontId="5" fillId="0" borderId="7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3" borderId="10" xfId="0" applyFont="1" applyFill="1" applyBorder="1" applyAlignment="1">
      <alignment horizontal="center" vertical="top"/>
    </xf>
    <xf numFmtId="0" fontId="0" fillId="3" borderId="8" xfId="0" applyFill="1" applyBorder="1"/>
    <xf numFmtId="0" fontId="0" fillId="3" borderId="9" xfId="0" applyFill="1" applyBorder="1"/>
    <xf numFmtId="0" fontId="7" fillId="3" borderId="10" xfId="0" applyFont="1" applyFill="1" applyBorder="1" applyAlignment="1">
      <alignment horizontal="center" vertical="top"/>
    </xf>
    <xf numFmtId="0" fontId="0" fillId="3" borderId="11" xfId="0" applyFill="1" applyBorder="1"/>
    <xf numFmtId="0" fontId="8" fillId="3" borderId="11" xfId="0" applyFont="1" applyFill="1" applyBorder="1" applyAlignment="1">
      <alignment horizontal="left" vertical="top"/>
    </xf>
    <xf numFmtId="0" fontId="0" fillId="3" borderId="12" xfId="0" applyFill="1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abSelected="1" workbookViewId="0">
      <selection activeCell="Q10" sqref="Q10"/>
    </sheetView>
  </sheetViews>
  <sheetFormatPr baseColWidth="10" defaultColWidth="9.140625" defaultRowHeight="12.75" customHeight="1" x14ac:dyDescent="0.2"/>
  <cols>
    <col min="1" max="1" width="9.7109375" bestFit="1" customWidth="1"/>
    <col min="2" max="3" width="9.42578125" bestFit="1" customWidth="1"/>
    <col min="4" max="4" width="10.140625" customWidth="1"/>
    <col min="5" max="5" width="8.7109375" customWidth="1"/>
    <col min="6" max="6" width="9.28515625" customWidth="1"/>
    <col min="7" max="7" width="10" customWidth="1"/>
    <col min="8" max="8" width="9.28515625" customWidth="1"/>
    <col min="9" max="11" width="8.7109375" bestFit="1" customWidth="1"/>
    <col min="12" max="12" width="10" bestFit="1" customWidth="1"/>
    <col min="13" max="13" width="8.7109375" bestFit="1" customWidth="1"/>
    <col min="14" max="15" width="10" bestFit="1" customWidth="1"/>
    <col min="16" max="16" width="11.28515625" bestFit="1" customWidth="1"/>
  </cols>
  <sheetData>
    <row r="1" spans="1:16" x14ac:dyDescent="0.2">
      <c r="A1" s="3">
        <v>44245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9.5" customHeight="1" x14ac:dyDescent="0.2">
      <c r="A3" s="7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8.75" customHeight="1" x14ac:dyDescent="0.2">
      <c r="A4" s="8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8.75" customHeight="1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8.75" customHeigh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2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9" t="s">
        <v>3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">
      <c r="A9" s="11" t="s">
        <v>0</v>
      </c>
      <c r="B9" s="12"/>
      <c r="C9" s="13"/>
      <c r="D9" s="17" t="s">
        <v>4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0" t="s">
        <v>5</v>
      </c>
    </row>
    <row r="10" spans="1:16" x14ac:dyDescent="0.2">
      <c r="A10" s="14"/>
      <c r="B10" s="15"/>
      <c r="C10" s="16"/>
      <c r="D10" s="1" t="s">
        <v>6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  <c r="J10" s="1" t="s">
        <v>12</v>
      </c>
      <c r="K10" s="1" t="s">
        <v>13</v>
      </c>
      <c r="L10" s="1" t="s">
        <v>14</v>
      </c>
      <c r="M10" s="1" t="s">
        <v>15</v>
      </c>
      <c r="N10" s="1" t="s">
        <v>16</v>
      </c>
      <c r="O10" s="1" t="s">
        <v>17</v>
      </c>
      <c r="P10" s="21"/>
    </row>
    <row r="11" spans="1:16" x14ac:dyDescent="0.2">
      <c r="A11" s="22" t="s">
        <v>18</v>
      </c>
      <c r="B11" s="23"/>
      <c r="C11" s="24"/>
      <c r="D11" s="2">
        <v>20150.091479999995</v>
      </c>
      <c r="E11" s="2">
        <v>18582.694360000001</v>
      </c>
      <c r="F11" s="2">
        <v>20100.599349999997</v>
      </c>
      <c r="G11" s="2">
        <v>15409.64753</v>
      </c>
      <c r="H11" s="2">
        <v>19735.020389999998</v>
      </c>
      <c r="I11" s="2">
        <v>18857.980790000001</v>
      </c>
      <c r="J11" s="2">
        <v>18540.523099999999</v>
      </c>
      <c r="K11" s="2">
        <v>19294.660459999999</v>
      </c>
      <c r="L11" s="2">
        <v>18864.1643</v>
      </c>
      <c r="M11" s="2">
        <v>19256.302940000001</v>
      </c>
      <c r="N11" s="2">
        <v>23371.982090000001</v>
      </c>
      <c r="O11" s="2">
        <v>17277.85439</v>
      </c>
      <c r="P11" s="2">
        <f>SUM(D11:O11)</f>
        <v>229441.52117999995</v>
      </c>
    </row>
    <row r="12" spans="1:16" x14ac:dyDescent="0.2">
      <c r="A12" s="22" t="s">
        <v>19</v>
      </c>
      <c r="B12" s="23"/>
      <c r="C12" s="24"/>
      <c r="D12" s="2">
        <v>18402.125849999997</v>
      </c>
      <c r="E12" s="2">
        <v>16814.776740000001</v>
      </c>
      <c r="F12" s="2">
        <v>18559.107899999999</v>
      </c>
      <c r="G12" s="2">
        <v>14030.42122</v>
      </c>
      <c r="H12" s="2">
        <v>18169.336829999997</v>
      </c>
      <c r="I12" s="2">
        <v>17299.1008</v>
      </c>
      <c r="J12" s="2">
        <v>16780.459780000001</v>
      </c>
      <c r="K12" s="2">
        <v>17360.313890000001</v>
      </c>
      <c r="L12" s="2">
        <v>17191.226569999999</v>
      </c>
      <c r="M12" s="2">
        <v>17451.000670000001</v>
      </c>
      <c r="N12" s="2">
        <v>21772.0648</v>
      </c>
      <c r="O12" s="2">
        <v>17659.01511</v>
      </c>
      <c r="P12" s="2">
        <f t="shared" ref="P12:P34" si="0">SUM(D12:O12)</f>
        <v>211488.95016000001</v>
      </c>
    </row>
    <row r="13" spans="1:16" x14ac:dyDescent="0.2">
      <c r="A13" s="22" t="s">
        <v>20</v>
      </c>
      <c r="B13" s="23"/>
      <c r="C13" s="24"/>
      <c r="D13" s="2">
        <v>229.85051999999999</v>
      </c>
      <c r="E13" s="2">
        <v>208.98161999999999</v>
      </c>
      <c r="F13" s="2">
        <v>122.48706</v>
      </c>
      <c r="G13" s="2">
        <v>47.155279999999998</v>
      </c>
      <c r="H13" s="2">
        <v>320.42215999999996</v>
      </c>
      <c r="I13" s="2">
        <v>72.727810000000005</v>
      </c>
      <c r="J13" s="2">
        <v>70.951009999999997</v>
      </c>
      <c r="K13" s="2">
        <v>69.552800000000005</v>
      </c>
      <c r="L13" s="2">
        <v>65.961979999999997</v>
      </c>
      <c r="M13" s="2">
        <v>63.374040000000001</v>
      </c>
      <c r="N13" s="2">
        <v>48.45393</v>
      </c>
      <c r="O13" s="2">
        <v>13.24497</v>
      </c>
      <c r="P13" s="2">
        <f t="shared" si="0"/>
        <v>1333.1631799999998</v>
      </c>
    </row>
    <row r="14" spans="1:16" x14ac:dyDescent="0.2">
      <c r="A14" s="22" t="s">
        <v>21</v>
      </c>
      <c r="B14" s="23"/>
      <c r="C14" s="24"/>
      <c r="D14" s="2">
        <v>1518.11511</v>
      </c>
      <c r="E14" s="2">
        <v>1558.9359999999999</v>
      </c>
      <c r="F14" s="2">
        <v>1419.0043899999998</v>
      </c>
      <c r="G14" s="2">
        <v>1332.0710299999998</v>
      </c>
      <c r="H14" s="2">
        <v>1245.2614000000001</v>
      </c>
      <c r="I14" s="2">
        <v>1486.15218</v>
      </c>
      <c r="J14" s="2">
        <v>1689.11231</v>
      </c>
      <c r="K14" s="2">
        <v>1864.79377</v>
      </c>
      <c r="L14" s="2">
        <v>1606.9757500000001</v>
      </c>
      <c r="M14" s="2">
        <v>1741.92823</v>
      </c>
      <c r="N14" s="2">
        <v>1551.46336</v>
      </c>
      <c r="O14" s="2">
        <v>1772.8598</v>
      </c>
      <c r="P14" s="2">
        <f t="shared" si="0"/>
        <v>18786.673329999998</v>
      </c>
    </row>
    <row r="15" spans="1:16" x14ac:dyDescent="0.2">
      <c r="A15" s="22" t="s">
        <v>22</v>
      </c>
      <c r="B15" s="23"/>
      <c r="C15" s="24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29.936430000000001</v>
      </c>
      <c r="P15" s="2">
        <f t="shared" si="0"/>
        <v>29.936430000000001</v>
      </c>
    </row>
    <row r="16" spans="1:16" x14ac:dyDescent="0.2">
      <c r="A16" s="22" t="s">
        <v>23</v>
      </c>
      <c r="B16" s="23"/>
      <c r="C16" s="24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-2197.20192</v>
      </c>
      <c r="P16" s="2">
        <f t="shared" si="0"/>
        <v>-2197.20192</v>
      </c>
    </row>
    <row r="17" spans="1:16" x14ac:dyDescent="0.2">
      <c r="A17" s="22" t="s">
        <v>24</v>
      </c>
      <c r="B17" s="23"/>
      <c r="C17" s="24"/>
      <c r="D17" s="2">
        <v>14550.437520000001</v>
      </c>
      <c r="E17" s="2">
        <v>13508.230649999998</v>
      </c>
      <c r="F17" s="2">
        <v>13731.13373</v>
      </c>
      <c r="G17" s="2">
        <v>12945.124040000001</v>
      </c>
      <c r="H17" s="2">
        <v>13459.231699999998</v>
      </c>
      <c r="I17" s="2">
        <v>13179.09058</v>
      </c>
      <c r="J17" s="2">
        <v>13666.86169</v>
      </c>
      <c r="K17" s="2">
        <v>13691.8181</v>
      </c>
      <c r="L17" s="2">
        <v>13426.63996</v>
      </c>
      <c r="M17" s="2">
        <v>13766.56214</v>
      </c>
      <c r="N17" s="2">
        <v>13142.716759999999</v>
      </c>
      <c r="O17" s="2">
        <v>13297.24559</v>
      </c>
      <c r="P17" s="2">
        <f t="shared" si="0"/>
        <v>162365.09246000004</v>
      </c>
    </row>
    <row r="18" spans="1:16" x14ac:dyDescent="0.2">
      <c r="A18" s="22" t="s">
        <v>25</v>
      </c>
      <c r="B18" s="23"/>
      <c r="C18" s="24"/>
      <c r="D18" s="2">
        <v>11788.644870000002</v>
      </c>
      <c r="E18" s="2">
        <v>11174.5856</v>
      </c>
      <c r="F18" s="2">
        <v>11677.286030000001</v>
      </c>
      <c r="G18" s="2">
        <v>11407.53407</v>
      </c>
      <c r="H18" s="2">
        <v>11606.52126</v>
      </c>
      <c r="I18" s="2">
        <v>11492.55378</v>
      </c>
      <c r="J18" s="2">
        <v>11933.39098</v>
      </c>
      <c r="K18" s="2">
        <v>12052.048769999999</v>
      </c>
      <c r="L18" s="2">
        <v>11493.1507</v>
      </c>
      <c r="M18" s="2">
        <v>11789.889230000001</v>
      </c>
      <c r="N18" s="2">
        <v>11337.52327</v>
      </c>
      <c r="O18" s="2">
        <v>11445.400180000001</v>
      </c>
      <c r="P18" s="2">
        <f t="shared" si="0"/>
        <v>139198.52874000001</v>
      </c>
    </row>
    <row r="19" spans="1:16" x14ac:dyDescent="0.2">
      <c r="A19" s="22" t="s">
        <v>26</v>
      </c>
      <c r="B19" s="23"/>
      <c r="C19" s="24"/>
      <c r="D19" s="2">
        <v>2761.7926499999999</v>
      </c>
      <c r="E19" s="2">
        <v>2333.6450499999996</v>
      </c>
      <c r="F19" s="2">
        <v>2053.8476999999998</v>
      </c>
      <c r="G19" s="2">
        <v>1537.58997</v>
      </c>
      <c r="H19" s="2">
        <v>1852.7104399999998</v>
      </c>
      <c r="I19" s="2">
        <v>1686.5368000000001</v>
      </c>
      <c r="J19" s="2">
        <v>1733.4707100000001</v>
      </c>
      <c r="K19" s="2">
        <v>1639.7693300000001</v>
      </c>
      <c r="L19" s="2">
        <v>1933.4892600000001</v>
      </c>
      <c r="M19" s="2">
        <v>1976.67291</v>
      </c>
      <c r="N19" s="2">
        <v>1805.1934900000001</v>
      </c>
      <c r="O19" s="2">
        <v>1851.8454099999999</v>
      </c>
      <c r="P19" s="2">
        <f t="shared" si="0"/>
        <v>23166.563719999998</v>
      </c>
    </row>
    <row r="20" spans="1:16" x14ac:dyDescent="0.2">
      <c r="A20" s="22" t="s">
        <v>27</v>
      </c>
      <c r="B20" s="23"/>
      <c r="C20" s="24"/>
      <c r="D20" s="2">
        <v>5599.6539599999951</v>
      </c>
      <c r="E20" s="2">
        <v>5074.4637100000045</v>
      </c>
      <c r="F20" s="2">
        <v>6369.4656199999972</v>
      </c>
      <c r="G20" s="2">
        <v>2464.5234899999982</v>
      </c>
      <c r="H20" s="2">
        <v>6275.7886899999976</v>
      </c>
      <c r="I20" s="2">
        <v>5678.8902099999996</v>
      </c>
      <c r="J20" s="2">
        <v>4873.6614099999997</v>
      </c>
      <c r="K20" s="2">
        <v>5602.8423599999996</v>
      </c>
      <c r="L20" s="2">
        <v>5437.5243399999999</v>
      </c>
      <c r="M20" s="2">
        <v>5489.7407999999996</v>
      </c>
      <c r="N20" s="2">
        <v>10229.26533</v>
      </c>
      <c r="O20" s="2">
        <v>3980.6088</v>
      </c>
      <c r="P20" s="2">
        <f t="shared" si="0"/>
        <v>67076.428719999996</v>
      </c>
    </row>
    <row r="21" spans="1:16" x14ac:dyDescent="0.2">
      <c r="A21" s="22" t="s">
        <v>28</v>
      </c>
      <c r="B21" s="23"/>
      <c r="C21" s="24"/>
      <c r="D21" s="2">
        <v>5028.7099000000007</v>
      </c>
      <c r="E21" s="2">
        <v>5697.2088799999992</v>
      </c>
      <c r="F21" s="2">
        <v>4858.8899099999999</v>
      </c>
      <c r="G21" s="2">
        <v>3483.7603799999997</v>
      </c>
      <c r="H21" s="2">
        <v>7610.9106899999997</v>
      </c>
      <c r="I21" s="2">
        <v>3842.5610099999999</v>
      </c>
      <c r="J21" s="2">
        <v>5791.69974</v>
      </c>
      <c r="K21" s="2">
        <v>4689.4729699999998</v>
      </c>
      <c r="L21" s="2">
        <v>6369.2176399999998</v>
      </c>
      <c r="M21" s="2">
        <v>4165.0138100000004</v>
      </c>
      <c r="N21" s="2">
        <v>3098.7928999999999</v>
      </c>
      <c r="O21" s="2">
        <v>4762.2803100000001</v>
      </c>
      <c r="P21" s="2">
        <f t="shared" si="0"/>
        <v>59398.518140000015</v>
      </c>
    </row>
    <row r="22" spans="1:16" x14ac:dyDescent="0.2">
      <c r="A22" s="22" t="s">
        <v>26</v>
      </c>
      <c r="B22" s="23"/>
      <c r="C22" s="24"/>
      <c r="D22" s="2">
        <v>3328.0019899999998</v>
      </c>
      <c r="E22" s="2">
        <v>2955.5131399999996</v>
      </c>
      <c r="F22" s="2">
        <v>2549.6580099999996</v>
      </c>
      <c r="G22" s="2">
        <v>1545.4178300000001</v>
      </c>
      <c r="H22" s="2">
        <v>1577.15029</v>
      </c>
      <c r="I22" s="2">
        <v>1661.06493</v>
      </c>
      <c r="J22" s="2">
        <v>1870.75981</v>
      </c>
      <c r="K22" s="2">
        <v>2019.28639</v>
      </c>
      <c r="L22" s="2">
        <v>2224.1299100000001</v>
      </c>
      <c r="M22" s="2">
        <v>2227.4215300000001</v>
      </c>
      <c r="N22" s="2">
        <v>1871.5632800000001</v>
      </c>
      <c r="O22" s="2">
        <v>2164.3188</v>
      </c>
      <c r="P22" s="2">
        <f t="shared" si="0"/>
        <v>25994.285909999999</v>
      </c>
    </row>
    <row r="23" spans="1:16" x14ac:dyDescent="0.2">
      <c r="A23" s="22" t="s">
        <v>29</v>
      </c>
      <c r="B23" s="23"/>
      <c r="C23" s="24"/>
      <c r="D23" s="2">
        <v>54.172750000000001</v>
      </c>
      <c r="E23" s="2">
        <v>46.053280000000001</v>
      </c>
      <c r="F23" s="2">
        <v>44.975709999999999</v>
      </c>
      <c r="G23" s="2">
        <v>43.334910000000001</v>
      </c>
      <c r="H23" s="2">
        <v>30.15615</v>
      </c>
      <c r="I23" s="2">
        <v>30.320900000000002</v>
      </c>
      <c r="J23" s="2">
        <v>41.567790000000002</v>
      </c>
      <c r="K23" s="2">
        <v>54.449890000000003</v>
      </c>
      <c r="L23" s="2">
        <v>36.484810000000003</v>
      </c>
      <c r="M23" s="2">
        <v>52.79515</v>
      </c>
      <c r="N23" s="2">
        <v>40.626510000000003</v>
      </c>
      <c r="O23" s="2">
        <v>43.784179999999999</v>
      </c>
      <c r="P23" s="2">
        <f t="shared" si="0"/>
        <v>518.72203000000002</v>
      </c>
    </row>
    <row r="24" spans="1:16" x14ac:dyDescent="0.2">
      <c r="A24" s="22" t="s">
        <v>30</v>
      </c>
      <c r="B24" s="23"/>
      <c r="C24" s="24"/>
      <c r="D24" s="2">
        <v>0</v>
      </c>
      <c r="E24" s="2">
        <v>0</v>
      </c>
      <c r="F24" s="2">
        <v>0</v>
      </c>
      <c r="G24" s="2">
        <v>0</v>
      </c>
      <c r="H24" s="2">
        <v>1044.3317299999999</v>
      </c>
      <c r="I24" s="2">
        <v>214.53501</v>
      </c>
      <c r="J24" s="2">
        <v>638.92479000000003</v>
      </c>
      <c r="K24" s="2">
        <v>-128.70309</v>
      </c>
      <c r="L24" s="2">
        <v>-152.44158999999999</v>
      </c>
      <c r="M24" s="2">
        <v>178.86051</v>
      </c>
      <c r="N24" s="2">
        <v>-66.243740000000003</v>
      </c>
      <c r="O24" s="2">
        <v>-1074.14156</v>
      </c>
      <c r="P24" s="2">
        <f t="shared" si="0"/>
        <v>655.12206000000015</v>
      </c>
    </row>
    <row r="25" spans="1:16" x14ac:dyDescent="0.2">
      <c r="A25" s="22" t="s">
        <v>23</v>
      </c>
      <c r="B25" s="23"/>
      <c r="C25" s="24"/>
      <c r="D25" s="2">
        <v>1646.5351600000001</v>
      </c>
      <c r="E25" s="2">
        <v>2695.64246</v>
      </c>
      <c r="F25" s="2">
        <v>2264.2561900000005</v>
      </c>
      <c r="G25" s="2">
        <v>1895.0076399999998</v>
      </c>
      <c r="H25" s="2">
        <v>4959.2725199999995</v>
      </c>
      <c r="I25" s="2">
        <v>1936.6401699999999</v>
      </c>
      <c r="J25" s="2">
        <v>3240.4473499999999</v>
      </c>
      <c r="K25" s="2">
        <v>2744.4397800000002</v>
      </c>
      <c r="L25" s="2">
        <v>4261.0445099999997</v>
      </c>
      <c r="M25" s="2">
        <v>1705.9366199999999</v>
      </c>
      <c r="N25" s="2">
        <v>1252.8468499999999</v>
      </c>
      <c r="O25" s="2">
        <v>3628.31889</v>
      </c>
      <c r="P25" s="2">
        <f t="shared" si="0"/>
        <v>32230.388139999999</v>
      </c>
    </row>
    <row r="26" spans="1:16" x14ac:dyDescent="0.2">
      <c r="A26" s="22" t="s">
        <v>31</v>
      </c>
      <c r="B26" s="23"/>
      <c r="C26" s="24"/>
      <c r="D26" s="2">
        <v>10628.363859999996</v>
      </c>
      <c r="E26" s="2">
        <v>10771.672590000004</v>
      </c>
      <c r="F26" s="2">
        <v>11228.355529999997</v>
      </c>
      <c r="G26" s="2">
        <v>5948.2838699999984</v>
      </c>
      <c r="H26" s="2">
        <v>13886.699379999996</v>
      </c>
      <c r="I26" s="2">
        <v>9521.4512200000008</v>
      </c>
      <c r="J26" s="2">
        <v>10665.361150000001</v>
      </c>
      <c r="K26" s="2">
        <v>10292.315329999999</v>
      </c>
      <c r="L26" s="2">
        <v>11806.741980000001</v>
      </c>
      <c r="M26" s="2">
        <v>9654.75461</v>
      </c>
      <c r="N26" s="2">
        <v>13328.058230000001</v>
      </c>
      <c r="O26" s="2">
        <v>8742.8891100000001</v>
      </c>
      <c r="P26" s="2">
        <f t="shared" si="0"/>
        <v>126474.94686</v>
      </c>
    </row>
    <row r="27" spans="1:16" x14ac:dyDescent="0.2">
      <c r="A27" s="22" t="s">
        <v>32</v>
      </c>
      <c r="B27" s="23"/>
      <c r="C27" s="24"/>
      <c r="D27" s="2">
        <v>7025.542080000002</v>
      </c>
      <c r="E27" s="2">
        <v>6908.1446899999992</v>
      </c>
      <c r="F27" s="2">
        <v>6746.4087599999993</v>
      </c>
      <c r="G27" s="2">
        <v>6810.6921200000006</v>
      </c>
      <c r="H27" s="2">
        <v>6524.2878000000001</v>
      </c>
      <c r="I27" s="2">
        <v>6376.4542199999996</v>
      </c>
      <c r="J27" s="2">
        <v>7301.0600700000005</v>
      </c>
      <c r="K27" s="2">
        <v>7092.0139499999996</v>
      </c>
      <c r="L27" s="2">
        <v>7621.27819</v>
      </c>
      <c r="M27" s="2">
        <v>6626.3976300000004</v>
      </c>
      <c r="N27" s="2">
        <v>6000.1204900000002</v>
      </c>
      <c r="O27" s="2">
        <v>6489.57701</v>
      </c>
      <c r="P27" s="2">
        <f t="shared" si="0"/>
        <v>81521.977009999988</v>
      </c>
    </row>
    <row r="28" spans="1:16" x14ac:dyDescent="0.2">
      <c r="A28" s="22" t="s">
        <v>33</v>
      </c>
      <c r="B28" s="23"/>
      <c r="C28" s="24"/>
      <c r="D28" s="2">
        <v>4844.4425500000007</v>
      </c>
      <c r="E28" s="2">
        <v>4074.2971399999997</v>
      </c>
      <c r="F28" s="2">
        <v>3468.5793799999997</v>
      </c>
      <c r="G28" s="2">
        <v>-5464.9199899999994</v>
      </c>
      <c r="H28" s="2">
        <v>2548.9802699999996</v>
      </c>
      <c r="I28" s="2">
        <v>4631.8877700000003</v>
      </c>
      <c r="J28" s="2">
        <v>4735.2640300000003</v>
      </c>
      <c r="K28" s="2">
        <v>4901.7922399999998</v>
      </c>
      <c r="L28" s="2">
        <v>3714.3855100000001</v>
      </c>
      <c r="M28" s="2">
        <v>4424.1713</v>
      </c>
      <c r="N28" s="2">
        <v>3375.0147700000002</v>
      </c>
      <c r="O28" s="2">
        <v>3888.3959399999999</v>
      </c>
      <c r="P28" s="2">
        <f t="shared" si="0"/>
        <v>39142.290910000003</v>
      </c>
    </row>
    <row r="29" spans="1:16" x14ac:dyDescent="0.2">
      <c r="A29" s="22" t="s">
        <v>34</v>
      </c>
      <c r="B29" s="23"/>
      <c r="C29" s="24"/>
      <c r="D29" s="2">
        <v>864.34311000000002</v>
      </c>
      <c r="E29" s="2">
        <v>996.70603999999992</v>
      </c>
      <c r="F29" s="2">
        <v>815.21706999999992</v>
      </c>
      <c r="G29" s="2">
        <v>553.91296</v>
      </c>
      <c r="H29" s="2">
        <v>1735.89996</v>
      </c>
      <c r="I29" s="2">
        <v>485.25918999999999</v>
      </c>
      <c r="J29" s="2">
        <v>632.18735000000004</v>
      </c>
      <c r="K29" s="2">
        <v>641.34135000000003</v>
      </c>
      <c r="L29" s="2">
        <v>550.64157</v>
      </c>
      <c r="M29" s="2">
        <v>816.02913000000001</v>
      </c>
      <c r="N29" s="2">
        <v>1034.27142</v>
      </c>
      <c r="O29" s="2">
        <v>989.31647999999996</v>
      </c>
      <c r="P29" s="2">
        <f t="shared" si="0"/>
        <v>10115.125629999999</v>
      </c>
    </row>
    <row r="30" spans="1:16" x14ac:dyDescent="0.2">
      <c r="A30" s="22" t="s">
        <v>35</v>
      </c>
      <c r="B30" s="23"/>
      <c r="C30" s="24"/>
      <c r="D30" s="2">
        <v>516.57757000000004</v>
      </c>
      <c r="E30" s="2">
        <v>511.06435999999997</v>
      </c>
      <c r="F30" s="2">
        <v>522.31030999999996</v>
      </c>
      <c r="G30" s="2">
        <v>476.33032000000003</v>
      </c>
      <c r="H30" s="2">
        <v>495.74511999999993</v>
      </c>
      <c r="I30" s="2">
        <v>494.28253000000001</v>
      </c>
      <c r="J30" s="2">
        <v>1164.8489199999999</v>
      </c>
      <c r="K30" s="2">
        <v>555.63702000000001</v>
      </c>
      <c r="L30" s="2">
        <v>555.07857999999999</v>
      </c>
      <c r="M30" s="2">
        <v>552.88337999999999</v>
      </c>
      <c r="N30" s="2">
        <v>561.34348999999997</v>
      </c>
      <c r="O30" s="2">
        <v>574.23515999999995</v>
      </c>
      <c r="P30" s="2">
        <f t="shared" si="0"/>
        <v>6980.336760000001</v>
      </c>
    </row>
    <row r="31" spans="1:16" x14ac:dyDescent="0.2">
      <c r="A31" s="22" t="s">
        <v>36</v>
      </c>
      <c r="B31" s="23"/>
      <c r="C31" s="24"/>
      <c r="D31" s="2">
        <v>800.17885000000012</v>
      </c>
      <c r="E31" s="2">
        <v>1326.0771499999998</v>
      </c>
      <c r="F31" s="2">
        <v>1940.3020000000001</v>
      </c>
      <c r="G31" s="2">
        <v>11245.368829999999</v>
      </c>
      <c r="H31" s="2">
        <v>1743.66245</v>
      </c>
      <c r="I31" s="2">
        <v>765.02472999999998</v>
      </c>
      <c r="J31" s="2">
        <v>768.75977</v>
      </c>
      <c r="K31" s="2">
        <v>993.24333999999999</v>
      </c>
      <c r="L31" s="2">
        <v>2801.1725299999998</v>
      </c>
      <c r="M31" s="2">
        <v>833.31381999999996</v>
      </c>
      <c r="N31" s="2">
        <v>1029.49081</v>
      </c>
      <c r="O31" s="2">
        <v>1037.62943</v>
      </c>
      <c r="P31" s="2">
        <f t="shared" si="0"/>
        <v>25284.223710000002</v>
      </c>
    </row>
    <row r="32" spans="1:16" x14ac:dyDescent="0.2">
      <c r="A32" s="22" t="s">
        <v>37</v>
      </c>
      <c r="B32" s="23"/>
      <c r="C32" s="24"/>
      <c r="D32" s="2">
        <v>3602.8217799999939</v>
      </c>
      <c r="E32" s="2">
        <v>3863.5279000000041</v>
      </c>
      <c r="F32" s="2">
        <v>4481.9467699999977</v>
      </c>
      <c r="G32" s="2">
        <v>-862.40825000000279</v>
      </c>
      <c r="H32" s="2">
        <v>7362.4115799999972</v>
      </c>
      <c r="I32" s="2">
        <v>3144.9969999999998</v>
      </c>
      <c r="J32" s="2">
        <v>3364.3010800000002</v>
      </c>
      <c r="K32" s="2">
        <v>3200.3013799999999</v>
      </c>
      <c r="L32" s="2">
        <v>4185.4637899999998</v>
      </c>
      <c r="M32" s="2">
        <v>3028.35698</v>
      </c>
      <c r="N32" s="2">
        <v>7327.9377400000003</v>
      </c>
      <c r="O32" s="2">
        <v>2253.3121000000001</v>
      </c>
      <c r="P32" s="2">
        <f t="shared" si="0"/>
        <v>44952.969849999994</v>
      </c>
    </row>
    <row r="33" spans="1:16" x14ac:dyDescent="0.2">
      <c r="A33" s="22" t="s">
        <v>38</v>
      </c>
      <c r="B33" s="23"/>
      <c r="C33" s="24"/>
      <c r="D33" s="2">
        <v>-390.38569999999999</v>
      </c>
      <c r="E33" s="2">
        <v>5424.3055999999997</v>
      </c>
      <c r="F33" s="2">
        <v>2479.7078300000003</v>
      </c>
      <c r="G33" s="2">
        <v>32690.131730000001</v>
      </c>
      <c r="H33" s="2">
        <v>7735.4594200000001</v>
      </c>
      <c r="I33" s="2">
        <v>1805.4921200000001</v>
      </c>
      <c r="J33" s="2">
        <v>1102.22857</v>
      </c>
      <c r="K33" s="2">
        <v>2909.2855599999998</v>
      </c>
      <c r="L33" s="2">
        <v>3871.88427</v>
      </c>
      <c r="M33" s="2">
        <v>886.29651000000001</v>
      </c>
      <c r="N33" s="2">
        <v>6067.6142499999996</v>
      </c>
      <c r="O33" s="2">
        <v>3201.8819600000002</v>
      </c>
      <c r="P33" s="2">
        <f t="shared" si="0"/>
        <v>67783.902119999999</v>
      </c>
    </row>
    <row r="34" spans="1:16" x14ac:dyDescent="0.2">
      <c r="A34" s="22" t="s">
        <v>39</v>
      </c>
      <c r="B34" s="23"/>
      <c r="C34" s="24"/>
      <c r="D34" s="2">
        <v>3993.2074799999941</v>
      </c>
      <c r="E34" s="2">
        <v>-1560.7776999999955</v>
      </c>
      <c r="F34" s="2">
        <v>2002.2389399999977</v>
      </c>
      <c r="G34" s="2">
        <v>-33552.539980000001</v>
      </c>
      <c r="H34" s="2">
        <v>-373.04784000000262</v>
      </c>
      <c r="I34" s="2">
        <v>1339.50488</v>
      </c>
      <c r="J34" s="2">
        <v>2262.07251</v>
      </c>
      <c r="K34" s="2">
        <v>291.01582000000002</v>
      </c>
      <c r="L34" s="2">
        <v>313.57952</v>
      </c>
      <c r="M34" s="2">
        <v>2142.0604699999999</v>
      </c>
      <c r="N34" s="2">
        <v>1260.32349</v>
      </c>
      <c r="O34" s="2">
        <v>-948.56985999999995</v>
      </c>
      <c r="P34" s="2">
        <f t="shared" si="0"/>
        <v>-22830.932270000008</v>
      </c>
    </row>
  </sheetData>
  <mergeCells count="33">
    <mergeCell ref="A32:C32"/>
    <mergeCell ref="A33:C33"/>
    <mergeCell ref="A34:C34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8:P8"/>
    <mergeCell ref="A9:C10"/>
    <mergeCell ref="D9:O9"/>
    <mergeCell ref="P9:P10"/>
    <mergeCell ref="A11:C11"/>
    <mergeCell ref="A1:P1"/>
    <mergeCell ref="A2:P2"/>
    <mergeCell ref="A3:P3"/>
    <mergeCell ref="A4:P6"/>
    <mergeCell ref="A7:P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POMARES,  ZANET</dc:creator>
  <cp:lastModifiedBy>POMARES,  ZANET</cp:lastModifiedBy>
  <dcterms:created xsi:type="dcterms:W3CDTF">2021-02-24T21:00:07Z</dcterms:created>
  <dcterms:modified xsi:type="dcterms:W3CDTF">2021-02-25T14:45:17Z</dcterms:modified>
</cp:coreProperties>
</file>