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zpomares\Desktop\"/>
    </mc:Choice>
  </mc:AlternateContent>
  <bookViews>
    <workbookView xWindow="0" yWindow="0" windowWidth="21570" windowHeight="10215"/>
  </bookViews>
  <sheets>
    <sheet name="Page1_1" sheetId="1" r:id="rId1"/>
  </sheets>
  <calcPr calcId="152511"/>
  <webPublishing codePage="1252"/>
</workbook>
</file>

<file path=xl/calcChain.xml><?xml version="1.0" encoding="utf-8"?>
<calcChain xmlns="http://schemas.openxmlformats.org/spreadsheetml/2006/main">
  <c r="D12" i="1" l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D73" i="1"/>
  <c r="E73" i="1"/>
  <c r="E11" i="1"/>
  <c r="D11" i="1"/>
</calcChain>
</file>

<file path=xl/sharedStrings.xml><?xml version="1.0" encoding="utf-8"?>
<sst xmlns="http://schemas.openxmlformats.org/spreadsheetml/2006/main" count="84" uniqueCount="54">
  <si>
    <t xml:space="preserve"> </t>
  </si>
  <si>
    <t xml:space="preserve">  MULTIBANK INC.</t>
  </si>
  <si>
    <t>BALANCE DE SITUACION
DE DICIEMBRE 2019 A DICIEMBRE 2020
( En Miles de Balboas)</t>
  </si>
  <si>
    <t>259</t>
  </si>
  <si>
    <t>VARIACION ABSOLUTA</t>
  </si>
  <si>
    <t>%</t>
  </si>
  <si>
    <t>2020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</si>
  <si>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</si>
  <si>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</si>
  <si>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</si>
  <si>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</si>
  <si>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</si>
  <si>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</si>
  <si>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</si>
  <si>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</si>
  <si>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</si>
  <si>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</si>
  <si>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</si>
  <si>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</si>
  <si>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ACTIVOS LIQUIDOS</t>
  </si>
  <si>
    <t xml:space="preserve">   Depositos Locales en Bancos</t>
  </si>
  <si>
    <t xml:space="preserve">      A la  Vista</t>
  </si>
  <si>
    <t xml:space="preserve">      A Plazo</t>
  </si>
  <si>
    <t xml:space="preserve">   Depositos Extranjeros en Bancos</t>
  </si>
  <si>
    <t xml:space="preserve">   Menos Provisiones</t>
  </si>
  <si>
    <t xml:space="preserve">      Locales</t>
  </si>
  <si>
    <t xml:space="preserve">      Extranjero</t>
  </si>
  <si>
    <t xml:space="preserve">   Otros</t>
  </si>
  <si>
    <t>CARTERA CREDITICIA</t>
  </si>
  <si>
    <t xml:space="preserve">   Locales</t>
  </si>
  <si>
    <t xml:space="preserve">   Extranjero</t>
  </si>
  <si>
    <t>INVERSIONES EN VALORES</t>
  </si>
  <si>
    <t>OTROS ACTIVOS</t>
  </si>
  <si>
    <t>TOTAL DE ACTIVOS</t>
  </si>
  <si>
    <t>DEPOSITOS</t>
  </si>
  <si>
    <t xml:space="preserve">      Oficiales</t>
  </si>
  <si>
    <t xml:space="preserve">      De Particulares</t>
  </si>
  <si>
    <t xml:space="preserve">         A la Vista</t>
  </si>
  <si>
    <t xml:space="preserve">         A Plazo</t>
  </si>
  <si>
    <t xml:space="preserve">         De Ahorros</t>
  </si>
  <si>
    <t xml:space="preserve">      De Bancos</t>
  </si>
  <si>
    <t>OBLIGACIONES</t>
  </si>
  <si>
    <t>OTROS PASIVOS</t>
  </si>
  <si>
    <t>PATRIMONIO</t>
  </si>
  <si>
    <t xml:space="preserve">   Capital</t>
  </si>
  <si>
    <t xml:space="preserve">   Reservas de Capital</t>
  </si>
  <si>
    <t xml:space="preserve">   Otras Reservas</t>
  </si>
  <si>
    <t xml:space="preserve">       Provisiones Dinámicas</t>
  </si>
  <si>
    <t xml:space="preserve">       Otras Reservas</t>
  </si>
  <si>
    <t xml:space="preserve">   Utilidad de Periodos Anteriores</t>
  </si>
  <si>
    <t xml:space="preserve">   Utilidad de Periodo</t>
  </si>
  <si>
    <t xml:space="preserve">   Ganancia o Perdida en Valores Disponible para la Venta</t>
  </si>
  <si>
    <t xml:space="preserve">   Deuda Subordinada</t>
  </si>
  <si>
    <t>PASIVO Y 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</si>
</sst>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yyyy\-mm\-dd"/>
    <numFmt numFmtId="165" formatCode="#,##0.00;\(#,##0.00\);\0\.\0\0"/>
    <numFmt numFmtId="167" formatCode="_(* #,##0_);_(* \(#,##0\);_(* &quot;-&quot;??_);_(@_)"/>
  </numFmts>
  <fonts count="8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2"/>
      <color rgb="FFFFFFFF"/>
      <name val="Tahoma"/>
      <family val="2"/>
    </font>
    <font>
      <b/>
      <sz val="12"/>
      <color rgb="FFFFFFFF"/>
      <name val="Arial"/>
      <family val="2"/>
    </font>
    <font>
      <b/>
      <sz val="1"/>
      <color rgb="FFFFFFFF"/>
      <name val="Tahoma"/>
      <family val="2"/>
    </font>
    <font>
      <b/>
      <sz val="8"/>
      <color theme="1"/>
      <name val="Tahoma"/>
      <family val="2"/>
    </font>
    <font>
      <sz val="7"/>
      <color theme="1"/>
      <name val="Arial"/>
      <family val="2"/>
    </font>
    <font>
      <sz val="7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BFD2E2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rgb="FFCFCFCF"/>
      </top>
      <bottom/>
      <diagonal/>
    </border>
    <border>
      <left/>
      <right style="medium">
        <color rgb="FFCFCFCF"/>
      </right>
      <top style="medium">
        <color rgb="FFCFCFCF"/>
      </top>
      <bottom/>
      <diagonal/>
    </border>
    <border>
      <left style="medium">
        <color rgb="FFCFCFCF"/>
      </left>
      <right/>
      <top/>
      <bottom style="medium">
        <color rgb="FFCFCFCF"/>
      </bottom>
      <diagonal/>
    </border>
    <border>
      <left/>
      <right/>
      <top/>
      <bottom style="medium">
        <color rgb="FFCFCFCF"/>
      </bottom>
      <diagonal/>
    </border>
    <border>
      <left/>
      <right style="medium">
        <color rgb="FFCFCFCF"/>
      </right>
      <top/>
      <bottom style="medium">
        <color rgb="FFCFCFCF"/>
      </bottom>
      <diagonal/>
    </border>
    <border>
      <left style="medium">
        <color rgb="FFCFCFCF"/>
      </left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93B1CD"/>
      </top>
      <bottom style="medium">
        <color rgb="FF93B1CD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/>
      <bottom style="medium">
        <color rgb="FF93B1CD"/>
      </bottom>
      <diagonal/>
    </border>
    <border>
      <left/>
      <right style="medium">
        <color rgb="FF93B1CD"/>
      </right>
      <top/>
      <bottom style="medium">
        <color rgb="FF93B1CD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6" fillId="3" borderId="8" xfId="0" applyFont="1" applyFill="1" applyBorder="1" applyAlignment="1">
      <alignment horizontal="center" vertical="top"/>
    </xf>
    <xf numFmtId="165" fontId="7" fillId="0" borderId="14" xfId="0" applyNumberFormat="1" applyFont="1" applyBorder="1" applyAlignment="1">
      <alignment horizontal="right" vertical="top"/>
    </xf>
    <xf numFmtId="43" fontId="7" fillId="0" borderId="14" xfId="1" applyFont="1" applyBorder="1" applyAlignment="1">
      <alignment horizontal="right" vertical="top"/>
    </xf>
    <xf numFmtId="43" fontId="0" fillId="0" borderId="0" xfId="1" applyFont="1"/>
    <xf numFmtId="164" fontId="1" fillId="0" borderId="0" xfId="0" applyNumberFormat="1" applyFont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5" fillId="0" borderId="7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3" borderId="9" xfId="0" applyFont="1" applyFill="1" applyBorder="1" applyAlignment="1">
      <alignment horizontal="center" vertical="top"/>
    </xf>
    <xf numFmtId="0" fontId="0" fillId="3" borderId="8" xfId="0" applyFill="1" applyBorder="1"/>
    <xf numFmtId="43" fontId="6" fillId="3" borderId="9" xfId="1" applyFont="1" applyFill="1" applyBorder="1" applyAlignment="1">
      <alignment horizontal="center" vertical="top"/>
    </xf>
    <xf numFmtId="43" fontId="0" fillId="3" borderId="8" xfId="1" applyFont="1" applyFill="1" applyBorder="1"/>
    <xf numFmtId="0" fontId="0" fillId="3" borderId="10" xfId="0" applyFill="1" applyBorder="1"/>
    <xf numFmtId="0" fontId="0" fillId="3" borderId="11" xfId="0" applyFill="1" applyBorder="1"/>
    <xf numFmtId="0" fontId="7" fillId="3" borderId="8" xfId="0" applyFont="1" applyFill="1" applyBorder="1" applyAlignment="1">
      <alignment horizontal="left" vertical="top"/>
    </xf>
    <xf numFmtId="0" fontId="0" fillId="3" borderId="12" xfId="0" applyFill="1" applyBorder="1"/>
    <xf numFmtId="0" fontId="0" fillId="3" borderId="13" xfId="0" applyFill="1" applyBorder="1"/>
    <xf numFmtId="167" fontId="6" fillId="3" borderId="9" xfId="1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tabSelected="1" workbookViewId="0">
      <selection activeCell="D81" sqref="D81"/>
    </sheetView>
  </sheetViews>
  <sheetFormatPr baseColWidth="10" defaultColWidth="9.140625" defaultRowHeight="12.75" customHeight="1" x14ac:dyDescent="0.2"/>
  <cols>
    <col min="1" max="3" width="13.7109375" bestFit="1" customWidth="1"/>
    <col min="4" max="4" width="17.5703125" bestFit="1" customWidth="1"/>
    <col min="5" max="5" width="6.140625" style="4" bestFit="1" customWidth="1"/>
    <col min="6" max="6" width="10.85546875" style="4" customWidth="1"/>
    <col min="7" max="7" width="8.85546875" customWidth="1"/>
    <col min="8" max="8" width="12.42578125" customWidth="1"/>
    <col min="9" max="9" width="9.7109375" customWidth="1"/>
    <col min="10" max="10" width="9.28515625" customWidth="1"/>
    <col min="11" max="11" width="10" customWidth="1"/>
    <col min="12" max="16" width="10" bestFit="1" customWidth="1"/>
    <col min="17" max="17" width="11.28515625" customWidth="1"/>
    <col min="18" max="18" width="10" bestFit="1" customWidth="1"/>
  </cols>
  <sheetData>
    <row r="1" spans="1:18" x14ac:dyDescent="0.2">
      <c r="A1" s="5">
        <v>44245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9.5" customHeight="1" x14ac:dyDescent="0.2">
      <c r="A3" s="9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8.75" customHeight="1" x14ac:dyDescent="0.2">
      <c r="A4" s="10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18.7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18.75" customHeight="1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2.75" customHeight="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2">
      <c r="A8" s="11" t="s">
        <v>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2">
      <c r="A9" s="13" t="s">
        <v>0</v>
      </c>
      <c r="B9" s="14"/>
      <c r="C9" s="15"/>
      <c r="D9" s="19" t="s">
        <v>4</v>
      </c>
      <c r="E9" s="21" t="s">
        <v>5</v>
      </c>
      <c r="F9" s="28">
        <v>2019</v>
      </c>
      <c r="G9" s="19" t="s">
        <v>6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4"/>
    </row>
    <row r="10" spans="1:18" x14ac:dyDescent="0.2">
      <c r="A10" s="16"/>
      <c r="B10" s="17"/>
      <c r="C10" s="18"/>
      <c r="D10" s="20"/>
      <c r="E10" s="22"/>
      <c r="F10" s="1" t="s">
        <v>18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  <c r="M10" s="1" t="s">
        <v>13</v>
      </c>
      <c r="N10" s="1" t="s">
        <v>14</v>
      </c>
      <c r="O10" s="1" t="s">
        <v>15</v>
      </c>
      <c r="P10" s="1" t="s">
        <v>16</v>
      </c>
      <c r="Q10" s="1" t="s">
        <v>17</v>
      </c>
      <c r="R10" s="1" t="s">
        <v>18</v>
      </c>
    </row>
    <row r="11" spans="1:18" x14ac:dyDescent="0.2">
      <c r="A11" s="25" t="s">
        <v>19</v>
      </c>
      <c r="B11" s="26"/>
      <c r="C11" s="27"/>
      <c r="D11" s="2">
        <f>+R11-F11</f>
        <v>-60056.998480000009</v>
      </c>
      <c r="E11" s="3">
        <f>+R11/F11-1</f>
        <v>-0.23719899240835551</v>
      </c>
      <c r="F11" s="3">
        <v>253192.46878</v>
      </c>
      <c r="G11" s="2">
        <v>313940.32328999997</v>
      </c>
      <c r="H11" s="2">
        <v>326643.12527000002</v>
      </c>
      <c r="I11" s="2">
        <v>351165.54989999998</v>
      </c>
      <c r="J11" s="2">
        <v>344394.39277999999</v>
      </c>
      <c r="K11" s="2">
        <v>350245.19036000001</v>
      </c>
      <c r="L11" s="2">
        <v>214343.74778000001</v>
      </c>
      <c r="M11" s="2">
        <v>233049.0526</v>
      </c>
      <c r="N11" s="2">
        <v>223470.03013</v>
      </c>
      <c r="O11" s="2">
        <v>193599.21846999999</v>
      </c>
      <c r="P11" s="2">
        <v>190142.35555000001</v>
      </c>
      <c r="Q11" s="2">
        <v>172616.10891000001</v>
      </c>
      <c r="R11" s="2">
        <v>193135.47029999999</v>
      </c>
    </row>
    <row r="12" spans="1:18" x14ac:dyDescent="0.2">
      <c r="A12" s="25" t="s">
        <v>20</v>
      </c>
      <c r="B12" s="26"/>
      <c r="C12" s="27"/>
      <c r="D12" s="2">
        <f t="shared" ref="D12:D73" si="0">+R12-F12</f>
        <v>9204.0477300000002</v>
      </c>
      <c r="E12" s="3">
        <f t="shared" ref="E12:E73" si="1">+R12/F12-1</f>
        <v>0.59256575151193869</v>
      </c>
      <c r="F12" s="3">
        <v>15532.534079999999</v>
      </c>
      <c r="G12" s="2">
        <v>27877.171849999999</v>
      </c>
      <c r="H12" s="2">
        <v>21185.15741</v>
      </c>
      <c r="I12" s="2">
        <v>14671.40172</v>
      </c>
      <c r="J12" s="2">
        <v>18679.701560000001</v>
      </c>
      <c r="K12" s="2">
        <v>21280.04765</v>
      </c>
      <c r="L12" s="2">
        <v>19906.332900000001</v>
      </c>
      <c r="M12" s="2">
        <v>36005.22178</v>
      </c>
      <c r="N12" s="2">
        <v>22134.73646</v>
      </c>
      <c r="O12" s="2">
        <v>31012.22853</v>
      </c>
      <c r="P12" s="2">
        <v>22599.683079999999</v>
      </c>
      <c r="Q12" s="2">
        <v>22698.706129999999</v>
      </c>
      <c r="R12" s="2">
        <v>24736.58181</v>
      </c>
    </row>
    <row r="13" spans="1:18" x14ac:dyDescent="0.2">
      <c r="A13" s="25" t="s">
        <v>21</v>
      </c>
      <c r="B13" s="26"/>
      <c r="C13" s="27"/>
      <c r="D13" s="2">
        <f t="shared" si="0"/>
        <v>8704.0477300000002</v>
      </c>
      <c r="E13" s="3">
        <f t="shared" si="1"/>
        <v>0.72337611280632252</v>
      </c>
      <c r="F13" s="3">
        <v>12032.534079999999</v>
      </c>
      <c r="G13" s="2">
        <v>17377.171849999999</v>
      </c>
      <c r="H13" s="2">
        <v>12185.15741</v>
      </c>
      <c r="I13" s="2">
        <v>8671.4017199999998</v>
      </c>
      <c r="J13" s="2">
        <v>12679.70156</v>
      </c>
      <c r="K13" s="2">
        <v>15280.04765</v>
      </c>
      <c r="L13" s="2">
        <v>14406.332899999999</v>
      </c>
      <c r="M13" s="2">
        <v>30505.22178</v>
      </c>
      <c r="N13" s="2">
        <v>16634.73646</v>
      </c>
      <c r="O13" s="2">
        <v>27012.22853</v>
      </c>
      <c r="P13" s="2">
        <v>18599.683079999999</v>
      </c>
      <c r="Q13" s="2">
        <v>18698.706129999999</v>
      </c>
      <c r="R13" s="2">
        <v>20736.58181</v>
      </c>
    </row>
    <row r="14" spans="1:18" x14ac:dyDescent="0.2">
      <c r="A14" s="25" t="s">
        <v>22</v>
      </c>
      <c r="B14" s="26"/>
      <c r="C14" s="27"/>
      <c r="D14" s="2">
        <f t="shared" si="0"/>
        <v>500</v>
      </c>
      <c r="E14" s="3">
        <f t="shared" si="1"/>
        <v>0.14285714285714279</v>
      </c>
      <c r="F14" s="3">
        <v>3500</v>
      </c>
      <c r="G14" s="2">
        <v>10500</v>
      </c>
      <c r="H14" s="2">
        <v>9000</v>
      </c>
      <c r="I14" s="2">
        <v>6000</v>
      </c>
      <c r="J14" s="2">
        <v>6000</v>
      </c>
      <c r="K14" s="2">
        <v>6000</v>
      </c>
      <c r="L14" s="2">
        <v>5500</v>
      </c>
      <c r="M14" s="2">
        <v>5500</v>
      </c>
      <c r="N14" s="2">
        <v>5500</v>
      </c>
      <c r="O14" s="2">
        <v>4000</v>
      </c>
      <c r="P14" s="2">
        <v>4000</v>
      </c>
      <c r="Q14" s="2">
        <v>4000</v>
      </c>
      <c r="R14" s="2">
        <v>4000</v>
      </c>
    </row>
    <row r="15" spans="1:18" x14ac:dyDescent="0.2">
      <c r="A15" s="25" t="s">
        <v>23</v>
      </c>
      <c r="B15" s="26"/>
      <c r="C15" s="27"/>
      <c r="D15" s="2">
        <f t="shared" si="0"/>
        <v>-65983.703429999994</v>
      </c>
      <c r="E15" s="3">
        <f t="shared" si="1"/>
        <v>-0.30860339845922147</v>
      </c>
      <c r="F15" s="3">
        <v>213813.9235</v>
      </c>
      <c r="G15" s="2">
        <v>259121.17150999999</v>
      </c>
      <c r="H15" s="2">
        <v>279981.35155999998</v>
      </c>
      <c r="I15" s="2">
        <v>306295.66940999997</v>
      </c>
      <c r="J15" s="2">
        <v>302716.48079</v>
      </c>
      <c r="K15" s="2">
        <v>301832.30952000001</v>
      </c>
      <c r="L15" s="2">
        <v>177032.19813</v>
      </c>
      <c r="M15" s="2">
        <v>179842.88190000001</v>
      </c>
      <c r="N15" s="2">
        <v>180303.50159</v>
      </c>
      <c r="O15" s="2">
        <v>146331.86762999999</v>
      </c>
      <c r="P15" s="2">
        <v>147899.06526999999</v>
      </c>
      <c r="Q15" s="2">
        <v>128203.78453999999</v>
      </c>
      <c r="R15" s="2">
        <v>147830.22007000001</v>
      </c>
    </row>
    <row r="16" spans="1:18" x14ac:dyDescent="0.2">
      <c r="A16" s="25" t="s">
        <v>21</v>
      </c>
      <c r="B16" s="26"/>
      <c r="C16" s="27"/>
      <c r="D16" s="2">
        <f t="shared" si="0"/>
        <v>-32033.703429999998</v>
      </c>
      <c r="E16" s="3">
        <f t="shared" si="1"/>
        <v>-0.50795608094380618</v>
      </c>
      <c r="F16" s="3">
        <v>63063.923499999997</v>
      </c>
      <c r="G16" s="2">
        <v>95153.331510000004</v>
      </c>
      <c r="H16" s="2">
        <v>142682.15684000001</v>
      </c>
      <c r="I16" s="2">
        <v>153536.86444999999</v>
      </c>
      <c r="J16" s="2">
        <v>122453.64579</v>
      </c>
      <c r="K16" s="2">
        <v>145140.394</v>
      </c>
      <c r="L16" s="2">
        <v>41614.548130000003</v>
      </c>
      <c r="M16" s="2">
        <v>51377.876900000003</v>
      </c>
      <c r="N16" s="2">
        <v>33619.211589999999</v>
      </c>
      <c r="O16" s="2">
        <v>36178.657630000002</v>
      </c>
      <c r="P16" s="2">
        <v>36092.250269999997</v>
      </c>
      <c r="Q16" s="2">
        <v>36770.089540000001</v>
      </c>
      <c r="R16" s="2">
        <v>31030.220069999999</v>
      </c>
    </row>
    <row r="17" spans="1:18" x14ac:dyDescent="0.2">
      <c r="A17" s="25" t="s">
        <v>22</v>
      </c>
      <c r="B17" s="26"/>
      <c r="C17" s="27"/>
      <c r="D17" s="2">
        <f t="shared" si="0"/>
        <v>-33950</v>
      </c>
      <c r="E17" s="3">
        <f t="shared" si="1"/>
        <v>-0.22520729684908791</v>
      </c>
      <c r="F17" s="3">
        <v>150750</v>
      </c>
      <c r="G17" s="2">
        <v>163967.84</v>
      </c>
      <c r="H17" s="2">
        <v>137299.19472</v>
      </c>
      <c r="I17" s="2">
        <v>152758.80496000001</v>
      </c>
      <c r="J17" s="2">
        <v>180262.83499999999</v>
      </c>
      <c r="K17" s="2">
        <v>156691.91552000001</v>
      </c>
      <c r="L17" s="2">
        <v>135417.65</v>
      </c>
      <c r="M17" s="2">
        <v>128465.005</v>
      </c>
      <c r="N17" s="2">
        <v>146684.29</v>
      </c>
      <c r="O17" s="2">
        <v>110153.21</v>
      </c>
      <c r="P17" s="2">
        <v>111806.815</v>
      </c>
      <c r="Q17" s="2">
        <v>91433.695000000007</v>
      </c>
      <c r="R17" s="2">
        <v>116800</v>
      </c>
    </row>
    <row r="18" spans="1:18" x14ac:dyDescent="0.2">
      <c r="A18" s="25" t="s">
        <v>24</v>
      </c>
      <c r="B18" s="26"/>
      <c r="C18" s="27"/>
      <c r="D18" s="2">
        <f t="shared" si="0"/>
        <v>0.50816000000000017</v>
      </c>
      <c r="E18" s="3">
        <f t="shared" si="1"/>
        <v>0.1708043427111694</v>
      </c>
      <c r="F18" s="3">
        <v>2.9750999999999999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1.48264</v>
      </c>
      <c r="M18" s="2">
        <v>2.52962</v>
      </c>
      <c r="N18" s="2">
        <v>1.8705400000000001</v>
      </c>
      <c r="O18" s="2">
        <v>1.6461399999999999</v>
      </c>
      <c r="P18" s="2">
        <v>0.78486999999999996</v>
      </c>
      <c r="Q18" s="2">
        <v>3.5311900000000001</v>
      </c>
      <c r="R18" s="2">
        <v>3.48326</v>
      </c>
    </row>
    <row r="19" spans="1:18" x14ac:dyDescent="0.2">
      <c r="A19" s="25" t="s">
        <v>25</v>
      </c>
      <c r="B19" s="26"/>
      <c r="C19" s="27"/>
      <c r="D19" s="2">
        <f t="shared" si="0"/>
        <v>0.50816000000000017</v>
      </c>
      <c r="E19" s="3">
        <f t="shared" si="1"/>
        <v>0.1708043427111694</v>
      </c>
      <c r="F19" s="3">
        <v>2.9750999999999999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1.48264</v>
      </c>
      <c r="M19" s="2">
        <v>2.52962</v>
      </c>
      <c r="N19" s="2">
        <v>1.8705400000000001</v>
      </c>
      <c r="O19" s="2">
        <v>1.6461399999999999</v>
      </c>
      <c r="P19" s="2">
        <v>0.78486999999999996</v>
      </c>
      <c r="Q19" s="2">
        <v>3.5311900000000001</v>
      </c>
      <c r="R19" s="2">
        <v>3.48326</v>
      </c>
    </row>
    <row r="20" spans="1:18" x14ac:dyDescent="0.2">
      <c r="A20" s="25" t="s">
        <v>26</v>
      </c>
      <c r="B20" s="26"/>
      <c r="C20" s="27"/>
      <c r="D20" s="2">
        <f t="shared" si="0"/>
        <v>0</v>
      </c>
      <c r="E20" s="3">
        <v>0</v>
      </c>
      <c r="F20" s="3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2">
      <c r="A21" s="25" t="s">
        <v>27</v>
      </c>
      <c r="B21" s="26"/>
      <c r="C21" s="27"/>
      <c r="D21" s="2">
        <f t="shared" si="0"/>
        <v>-3276.8346200000015</v>
      </c>
      <c r="E21" s="3">
        <f t="shared" si="1"/>
        <v>-0.13739932501869068</v>
      </c>
      <c r="F21" s="3">
        <v>23848.9863</v>
      </c>
      <c r="G21" s="2">
        <v>26941.979930000001</v>
      </c>
      <c r="H21" s="2">
        <v>25476.616300000002</v>
      </c>
      <c r="I21" s="2">
        <v>30198.478770000002</v>
      </c>
      <c r="J21" s="2">
        <v>22998.210429999999</v>
      </c>
      <c r="K21" s="2">
        <v>27132.833190000001</v>
      </c>
      <c r="L21" s="2">
        <v>17406.699390000002</v>
      </c>
      <c r="M21" s="2">
        <v>17203.47854</v>
      </c>
      <c r="N21" s="2">
        <v>21033.662619999999</v>
      </c>
      <c r="O21" s="2">
        <v>16256.76845</v>
      </c>
      <c r="P21" s="2">
        <v>19644.392070000002</v>
      </c>
      <c r="Q21" s="2">
        <v>21717.149430000001</v>
      </c>
      <c r="R21" s="2">
        <v>20572.151679999999</v>
      </c>
    </row>
    <row r="22" spans="1:18" x14ac:dyDescent="0.2">
      <c r="A22" s="25" t="s">
        <v>28</v>
      </c>
      <c r="B22" s="26"/>
      <c r="C22" s="27"/>
      <c r="D22" s="2">
        <f t="shared" si="0"/>
        <v>-208917.05064999964</v>
      </c>
      <c r="E22" s="3">
        <f t="shared" si="1"/>
        <v>-6.3444544192608143E-2</v>
      </c>
      <c r="F22" s="3">
        <v>3292908.0555099999</v>
      </c>
      <c r="G22" s="2">
        <v>3181417.2645200002</v>
      </c>
      <c r="H22" s="2">
        <v>3175685.1836999999</v>
      </c>
      <c r="I22" s="2">
        <v>3189737.6698099999</v>
      </c>
      <c r="J22" s="2">
        <v>3207125.36754</v>
      </c>
      <c r="K22" s="2">
        <v>3234196.4821600001</v>
      </c>
      <c r="L22" s="2">
        <v>3134979.5470199999</v>
      </c>
      <c r="M22" s="2">
        <v>3133514.1773700002</v>
      </c>
      <c r="N22" s="2">
        <v>3128687.84473</v>
      </c>
      <c r="O22" s="2">
        <v>3127280.3257599999</v>
      </c>
      <c r="P22" s="2">
        <v>3147397.7666699998</v>
      </c>
      <c r="Q22" s="2">
        <v>3151671.9811399998</v>
      </c>
      <c r="R22" s="2">
        <v>3083991.0048600002</v>
      </c>
    </row>
    <row r="23" spans="1:18" x14ac:dyDescent="0.2">
      <c r="A23" s="25" t="s">
        <v>29</v>
      </c>
      <c r="B23" s="26"/>
      <c r="C23" s="27"/>
      <c r="D23" s="2">
        <f t="shared" si="0"/>
        <v>-95982.070580000058</v>
      </c>
      <c r="E23" s="3">
        <f t="shared" si="1"/>
        <v>-3.0880689508260617E-2</v>
      </c>
      <c r="F23" s="3">
        <v>3108158.2732899999</v>
      </c>
      <c r="G23" s="2">
        <v>2984723.3662200002</v>
      </c>
      <c r="H23" s="2">
        <v>2995786.1751899999</v>
      </c>
      <c r="I23" s="2">
        <v>3001620.67398</v>
      </c>
      <c r="J23" s="2">
        <v>3011928.3468499999</v>
      </c>
      <c r="K23" s="2">
        <v>3025234.2192799998</v>
      </c>
      <c r="L23" s="2">
        <v>2993864.7564699999</v>
      </c>
      <c r="M23" s="2">
        <v>2986453.0877200002</v>
      </c>
      <c r="N23" s="2">
        <v>2978294.44875</v>
      </c>
      <c r="O23" s="2">
        <v>2983947.7102199998</v>
      </c>
      <c r="P23" s="2">
        <v>3012828.4634400001</v>
      </c>
      <c r="Q23" s="2">
        <v>2998944.9733799999</v>
      </c>
      <c r="R23" s="2">
        <v>3012176.2027099999</v>
      </c>
    </row>
    <row r="24" spans="1:18" x14ac:dyDescent="0.2">
      <c r="A24" s="25" t="s">
        <v>30</v>
      </c>
      <c r="B24" s="26"/>
      <c r="C24" s="27"/>
      <c r="D24" s="2">
        <f t="shared" si="0"/>
        <v>-90305.002719999989</v>
      </c>
      <c r="E24" s="3">
        <f t="shared" si="1"/>
        <v>-0.39286744242435545</v>
      </c>
      <c r="F24" s="3">
        <v>229861.25336</v>
      </c>
      <c r="G24" s="2">
        <v>231544.22885000001</v>
      </c>
      <c r="H24" s="2">
        <v>214205.20032</v>
      </c>
      <c r="I24" s="2">
        <v>221150.84255</v>
      </c>
      <c r="J24" s="2">
        <v>229251.94661000001</v>
      </c>
      <c r="K24" s="2">
        <v>245126.36683000001</v>
      </c>
      <c r="L24" s="2">
        <v>200317.32996999999</v>
      </c>
      <c r="M24" s="2">
        <v>206347.93466</v>
      </c>
      <c r="N24" s="2">
        <v>210488.32295999999</v>
      </c>
      <c r="O24" s="2">
        <v>206751.50451</v>
      </c>
      <c r="P24" s="2">
        <v>197060.79183</v>
      </c>
      <c r="Q24" s="2">
        <v>217990.42747</v>
      </c>
      <c r="R24" s="2">
        <v>139556.25064000001</v>
      </c>
    </row>
    <row r="25" spans="1:18" x14ac:dyDescent="0.2">
      <c r="A25" s="25" t="s">
        <v>24</v>
      </c>
      <c r="B25" s="26"/>
      <c r="C25" s="27"/>
      <c r="D25" s="2">
        <f t="shared" si="0"/>
        <v>22629.977349999994</v>
      </c>
      <c r="E25" s="3">
        <f t="shared" si="1"/>
        <v>0.50164574060929179</v>
      </c>
      <c r="F25" s="3">
        <v>45111.471140000001</v>
      </c>
      <c r="G25" s="2">
        <v>34850.330549999999</v>
      </c>
      <c r="H25" s="2">
        <v>34306.191809999997</v>
      </c>
      <c r="I25" s="2">
        <v>33033.846720000001</v>
      </c>
      <c r="J25" s="2">
        <v>34054.925920000001</v>
      </c>
      <c r="K25" s="2">
        <v>36164.103949999997</v>
      </c>
      <c r="L25" s="2">
        <v>59202.539420000001</v>
      </c>
      <c r="M25" s="2">
        <v>59286.845009999997</v>
      </c>
      <c r="N25" s="2">
        <v>60094.926979999997</v>
      </c>
      <c r="O25" s="2">
        <v>63418.88897</v>
      </c>
      <c r="P25" s="2">
        <v>62491.488599999997</v>
      </c>
      <c r="Q25" s="2">
        <v>65263.419710000002</v>
      </c>
      <c r="R25" s="2">
        <v>67741.448489999995</v>
      </c>
    </row>
    <row r="26" spans="1:18" x14ac:dyDescent="0.2">
      <c r="A26" s="25" t="s">
        <v>25</v>
      </c>
      <c r="B26" s="26"/>
      <c r="C26" s="27"/>
      <c r="D26" s="2">
        <f t="shared" si="0"/>
        <v>23928.670300000005</v>
      </c>
      <c r="E26" s="3">
        <f t="shared" si="1"/>
        <v>0.5809840993828832</v>
      </c>
      <c r="F26" s="3">
        <v>41186.446109999997</v>
      </c>
      <c r="G26" s="2">
        <v>33485.02534</v>
      </c>
      <c r="H26" s="2">
        <v>33140.182260000001</v>
      </c>
      <c r="I26" s="2">
        <v>31806.085760000002</v>
      </c>
      <c r="J26" s="2">
        <v>32806.422299999998</v>
      </c>
      <c r="K26" s="2">
        <v>34764.82475</v>
      </c>
      <c r="L26" s="2">
        <v>57808.848050000001</v>
      </c>
      <c r="M26" s="2">
        <v>57590.956319999998</v>
      </c>
      <c r="N26" s="2">
        <v>58002.353880000002</v>
      </c>
      <c r="O26" s="2">
        <v>61390.453370000003</v>
      </c>
      <c r="P26" s="2">
        <v>60561.311750000001</v>
      </c>
      <c r="Q26" s="2">
        <v>63289.86015</v>
      </c>
      <c r="R26" s="2">
        <v>65115.116410000002</v>
      </c>
    </row>
    <row r="27" spans="1:18" x14ac:dyDescent="0.2">
      <c r="A27" s="25" t="s">
        <v>26</v>
      </c>
      <c r="B27" s="26"/>
      <c r="C27" s="27"/>
      <c r="D27" s="2">
        <f t="shared" si="0"/>
        <v>-1298.6929499999997</v>
      </c>
      <c r="E27" s="3">
        <f t="shared" si="1"/>
        <v>-0.33087507469984201</v>
      </c>
      <c r="F27" s="3">
        <v>3925.0250299999998</v>
      </c>
      <c r="G27" s="2">
        <v>1365.30521</v>
      </c>
      <c r="H27" s="2">
        <v>1166.00955</v>
      </c>
      <c r="I27" s="2">
        <v>1227.7609600000001</v>
      </c>
      <c r="J27" s="2">
        <v>1248.50362</v>
      </c>
      <c r="K27" s="2">
        <v>1399.2791999999999</v>
      </c>
      <c r="L27" s="2">
        <v>1393.69137</v>
      </c>
      <c r="M27" s="2">
        <v>1695.88869</v>
      </c>
      <c r="N27" s="2">
        <v>2092.5731000000001</v>
      </c>
      <c r="O27" s="2">
        <v>2028.4356</v>
      </c>
      <c r="P27" s="2">
        <v>1930.1768500000001</v>
      </c>
      <c r="Q27" s="2">
        <v>1973.5595599999999</v>
      </c>
      <c r="R27" s="2">
        <v>2626.3320800000001</v>
      </c>
    </row>
    <row r="28" spans="1:18" x14ac:dyDescent="0.2">
      <c r="A28" s="25" t="s">
        <v>31</v>
      </c>
      <c r="B28" s="26"/>
      <c r="C28" s="27"/>
      <c r="D28" s="2">
        <f t="shared" si="0"/>
        <v>307585.15257999999</v>
      </c>
      <c r="E28" s="3">
        <f t="shared" si="1"/>
        <v>0.37384171569682922</v>
      </c>
      <c r="F28" s="3">
        <v>822768.40616000001</v>
      </c>
      <c r="G28" s="2">
        <v>961869.61844999995</v>
      </c>
      <c r="H28" s="2">
        <v>951130.09843999997</v>
      </c>
      <c r="I28" s="2">
        <v>870835.54287999996</v>
      </c>
      <c r="J28" s="2">
        <v>892693.86126999999</v>
      </c>
      <c r="K28" s="2">
        <v>859002.58576000005</v>
      </c>
      <c r="L28" s="2">
        <v>1227689.98392</v>
      </c>
      <c r="M28" s="2">
        <v>1344212.84497</v>
      </c>
      <c r="N28" s="2">
        <v>1299246.7748499999</v>
      </c>
      <c r="O28" s="2">
        <v>1279035.3239899999</v>
      </c>
      <c r="P28" s="2">
        <v>1222266.24872</v>
      </c>
      <c r="Q28" s="2">
        <v>1170416.0264999999</v>
      </c>
      <c r="R28" s="2">
        <v>1130353.55874</v>
      </c>
    </row>
    <row r="29" spans="1:18" x14ac:dyDescent="0.2">
      <c r="A29" s="25" t="s">
        <v>29</v>
      </c>
      <c r="B29" s="26"/>
      <c r="C29" s="27"/>
      <c r="D29" s="2">
        <f t="shared" si="0"/>
        <v>97342.203110000002</v>
      </c>
      <c r="E29" s="3">
        <f t="shared" si="1"/>
        <v>0.32037728529739407</v>
      </c>
      <c r="F29" s="3">
        <v>303836.15685999999</v>
      </c>
      <c r="G29" s="2">
        <v>354330.31634999998</v>
      </c>
      <c r="H29" s="2">
        <v>348549.29019999999</v>
      </c>
      <c r="I29" s="2">
        <v>317002.46458999999</v>
      </c>
      <c r="J29" s="2">
        <v>334016.79765000002</v>
      </c>
      <c r="K29" s="2">
        <v>322769.13879</v>
      </c>
      <c r="L29" s="2">
        <v>417337.42488000001</v>
      </c>
      <c r="M29" s="2">
        <v>502876.24374000001</v>
      </c>
      <c r="N29" s="2">
        <v>520506.08588999999</v>
      </c>
      <c r="O29" s="2">
        <v>487720.95909000002</v>
      </c>
      <c r="P29" s="2">
        <v>496790.11680999998</v>
      </c>
      <c r="Q29" s="2">
        <v>462929.16499000002</v>
      </c>
      <c r="R29" s="2">
        <v>401178.35996999999</v>
      </c>
    </row>
    <row r="30" spans="1:18" x14ac:dyDescent="0.2">
      <c r="A30" s="25" t="s">
        <v>30</v>
      </c>
      <c r="B30" s="26"/>
      <c r="C30" s="27"/>
      <c r="D30" s="2">
        <f t="shared" si="0"/>
        <v>210985.20959999994</v>
      </c>
      <c r="E30" s="3">
        <f t="shared" si="1"/>
        <v>0.40583550449343564</v>
      </c>
      <c r="F30" s="3">
        <v>519878.63867000001</v>
      </c>
      <c r="G30" s="2">
        <v>608539.12396999996</v>
      </c>
      <c r="H30" s="2">
        <v>603639.96328000003</v>
      </c>
      <c r="I30" s="2">
        <v>554871.79024999996</v>
      </c>
      <c r="J30" s="2">
        <v>559743.65379999997</v>
      </c>
      <c r="K30" s="2">
        <v>537269.24164999998</v>
      </c>
      <c r="L30" s="2">
        <v>811149.57215000002</v>
      </c>
      <c r="M30" s="2">
        <v>841989.24433999998</v>
      </c>
      <c r="N30" s="2">
        <v>779394.69871999999</v>
      </c>
      <c r="O30" s="2">
        <v>792245.34686000005</v>
      </c>
      <c r="P30" s="2">
        <v>726410.76413000003</v>
      </c>
      <c r="Q30" s="2">
        <v>708569.90743000002</v>
      </c>
      <c r="R30" s="2">
        <v>730863.84826999996</v>
      </c>
    </row>
    <row r="31" spans="1:18" x14ac:dyDescent="0.2">
      <c r="A31" s="25" t="s">
        <v>24</v>
      </c>
      <c r="B31" s="26"/>
      <c r="C31" s="27"/>
      <c r="D31" s="2">
        <f t="shared" si="0"/>
        <v>742.26013</v>
      </c>
      <c r="E31" s="3">
        <f t="shared" si="1"/>
        <v>0.78430734064563734</v>
      </c>
      <c r="F31" s="3">
        <v>946.38936999999999</v>
      </c>
      <c r="G31" s="2">
        <v>999.82186999999999</v>
      </c>
      <c r="H31" s="2">
        <v>1059.1550400000001</v>
      </c>
      <c r="I31" s="2">
        <v>1038.7119600000001</v>
      </c>
      <c r="J31" s="2">
        <v>1066.5901799999999</v>
      </c>
      <c r="K31" s="2">
        <v>1035.79468</v>
      </c>
      <c r="L31" s="2">
        <v>797.01310999999998</v>
      </c>
      <c r="M31" s="2">
        <v>652.64310999999998</v>
      </c>
      <c r="N31" s="2">
        <v>654.00976000000003</v>
      </c>
      <c r="O31" s="2">
        <v>930.98195999999996</v>
      </c>
      <c r="P31" s="2">
        <v>934.63221999999996</v>
      </c>
      <c r="Q31" s="2">
        <v>1083.04592</v>
      </c>
      <c r="R31" s="2">
        <v>1688.6495</v>
      </c>
    </row>
    <row r="32" spans="1:18" x14ac:dyDescent="0.2">
      <c r="A32" s="25" t="s">
        <v>25</v>
      </c>
      <c r="B32" s="26"/>
      <c r="C32" s="27"/>
      <c r="D32" s="2">
        <f t="shared" si="0"/>
        <v>439.04786999999988</v>
      </c>
      <c r="E32" s="3">
        <f t="shared" si="1"/>
        <v>0.53840931741434228</v>
      </c>
      <c r="F32" s="3">
        <v>815.45370000000003</v>
      </c>
      <c r="G32" s="2">
        <v>930.49302</v>
      </c>
      <c r="H32" s="2">
        <v>989.83263999999997</v>
      </c>
      <c r="I32" s="2">
        <v>969.44836999999995</v>
      </c>
      <c r="J32" s="2">
        <v>912.72303999999997</v>
      </c>
      <c r="K32" s="2">
        <v>912.39349000000004</v>
      </c>
      <c r="L32" s="2">
        <v>531.98785999999996</v>
      </c>
      <c r="M32" s="2">
        <v>521.75638000000004</v>
      </c>
      <c r="N32" s="2">
        <v>522.44273999999996</v>
      </c>
      <c r="O32" s="2">
        <v>798.73452999999995</v>
      </c>
      <c r="P32" s="2">
        <v>801.84807999999998</v>
      </c>
      <c r="Q32" s="2">
        <v>953.67404999999997</v>
      </c>
      <c r="R32" s="2">
        <v>1254.5015699999999</v>
      </c>
    </row>
    <row r="33" spans="1:18" x14ac:dyDescent="0.2">
      <c r="A33" s="25" t="s">
        <v>26</v>
      </c>
      <c r="B33" s="26"/>
      <c r="C33" s="27"/>
      <c r="D33" s="2">
        <f t="shared" si="0"/>
        <v>303.21226000000001</v>
      </c>
      <c r="E33" s="3">
        <f t="shared" si="1"/>
        <v>2.3157345893597978</v>
      </c>
      <c r="F33" s="3">
        <v>130.93566999999999</v>
      </c>
      <c r="G33" s="2">
        <v>69.328850000000003</v>
      </c>
      <c r="H33" s="2">
        <v>69.322400000000002</v>
      </c>
      <c r="I33" s="2">
        <v>69.263589999999994</v>
      </c>
      <c r="J33" s="2">
        <v>153.86714000000001</v>
      </c>
      <c r="K33" s="2">
        <v>123.40119</v>
      </c>
      <c r="L33" s="2">
        <v>265.02525000000003</v>
      </c>
      <c r="M33" s="2">
        <v>130.88673</v>
      </c>
      <c r="N33" s="2">
        <v>131.56702000000001</v>
      </c>
      <c r="O33" s="2">
        <v>132.24743000000001</v>
      </c>
      <c r="P33" s="2">
        <v>132.78414000000001</v>
      </c>
      <c r="Q33" s="2">
        <v>129.37187</v>
      </c>
      <c r="R33" s="2">
        <v>434.14792999999997</v>
      </c>
    </row>
    <row r="34" spans="1:18" x14ac:dyDescent="0.2">
      <c r="A34" s="25" t="s">
        <v>32</v>
      </c>
      <c r="B34" s="26"/>
      <c r="C34" s="27"/>
      <c r="D34" s="2">
        <f t="shared" si="0"/>
        <v>124798.51968999993</v>
      </c>
      <c r="E34" s="3">
        <f t="shared" si="1"/>
        <v>0.30001900597751541</v>
      </c>
      <c r="F34" s="3">
        <v>415968.71266000002</v>
      </c>
      <c r="G34" s="2">
        <v>386157.96289999998</v>
      </c>
      <c r="H34" s="2">
        <v>389002.83627999999</v>
      </c>
      <c r="I34" s="2">
        <v>412830.00930999999</v>
      </c>
      <c r="J34" s="2">
        <v>420183.35674999998</v>
      </c>
      <c r="K34" s="2">
        <v>433677.07014999999</v>
      </c>
      <c r="L34" s="2">
        <v>466960.24398999999</v>
      </c>
      <c r="M34" s="2">
        <v>488787.33594999998</v>
      </c>
      <c r="N34" s="2">
        <v>488036.58376000001</v>
      </c>
      <c r="O34" s="2">
        <v>480340.99534000002</v>
      </c>
      <c r="P34" s="2">
        <v>515552.06484000001</v>
      </c>
      <c r="Q34" s="2">
        <v>534144.84773000004</v>
      </c>
      <c r="R34" s="2">
        <v>540767.23234999995</v>
      </c>
    </row>
    <row r="35" spans="1:18" x14ac:dyDescent="0.2">
      <c r="A35" s="25" t="s">
        <v>29</v>
      </c>
      <c r="B35" s="26"/>
      <c r="C35" s="27"/>
      <c r="D35" s="2">
        <f t="shared" si="0"/>
        <v>127085.48623000004</v>
      </c>
      <c r="E35" s="3">
        <f t="shared" si="1"/>
        <v>0.31316728605134903</v>
      </c>
      <c r="F35" s="3">
        <v>405807.02995</v>
      </c>
      <c r="G35" s="2">
        <v>377213.29178999999</v>
      </c>
      <c r="H35" s="2">
        <v>380257.54605</v>
      </c>
      <c r="I35" s="2">
        <v>403826.86281999998</v>
      </c>
      <c r="J35" s="2">
        <v>411624.05323999998</v>
      </c>
      <c r="K35" s="2">
        <v>424797.40798999998</v>
      </c>
      <c r="L35" s="2">
        <v>456593.81550999999</v>
      </c>
      <c r="M35" s="2">
        <v>478435.29665999999</v>
      </c>
      <c r="N35" s="2">
        <v>478270.95568999997</v>
      </c>
      <c r="O35" s="2">
        <v>469829.40794</v>
      </c>
      <c r="P35" s="2">
        <v>505140.64520000003</v>
      </c>
      <c r="Q35" s="2">
        <v>525601.95849999995</v>
      </c>
      <c r="R35" s="2">
        <v>532892.51618000004</v>
      </c>
    </row>
    <row r="36" spans="1:18" x14ac:dyDescent="0.2">
      <c r="A36" s="25" t="s">
        <v>30</v>
      </c>
      <c r="B36" s="26"/>
      <c r="C36" s="27"/>
      <c r="D36" s="2">
        <f t="shared" si="0"/>
        <v>-2286.9665399999994</v>
      </c>
      <c r="E36" s="3">
        <f t="shared" si="1"/>
        <v>-0.22505785756815855</v>
      </c>
      <c r="F36" s="3">
        <v>10161.682709999999</v>
      </c>
      <c r="G36" s="2">
        <v>8944.6711099999993</v>
      </c>
      <c r="H36" s="2">
        <v>8745.2902300000005</v>
      </c>
      <c r="I36" s="2">
        <v>9003.1464899999992</v>
      </c>
      <c r="J36" s="2">
        <v>8559.3035099999997</v>
      </c>
      <c r="K36" s="2">
        <v>8879.6621599999999</v>
      </c>
      <c r="L36" s="2">
        <v>10366.42848</v>
      </c>
      <c r="M36" s="2">
        <v>10352.039290000001</v>
      </c>
      <c r="N36" s="2">
        <v>9765.6280700000007</v>
      </c>
      <c r="O36" s="2">
        <v>10511.5874</v>
      </c>
      <c r="P36" s="2">
        <v>10411.41964</v>
      </c>
      <c r="Q36" s="2">
        <v>8542.8892300000007</v>
      </c>
      <c r="R36" s="2">
        <v>7874.7161699999997</v>
      </c>
    </row>
    <row r="37" spans="1:18" x14ac:dyDescent="0.2">
      <c r="A37" s="25" t="s">
        <v>33</v>
      </c>
      <c r="B37" s="26"/>
      <c r="C37" s="27"/>
      <c r="D37" s="2">
        <f t="shared" si="0"/>
        <v>163409.62314000074</v>
      </c>
      <c r="E37" s="3">
        <f t="shared" si="1"/>
        <v>3.4151550236047212E-2</v>
      </c>
      <c r="F37" s="3">
        <v>4784837.6431099996</v>
      </c>
      <c r="G37" s="2">
        <v>4843385.16916</v>
      </c>
      <c r="H37" s="2">
        <v>4842461.2436899999</v>
      </c>
      <c r="I37" s="2">
        <v>4824568.7719000001</v>
      </c>
      <c r="J37" s="2">
        <v>4864396.9783399999</v>
      </c>
      <c r="K37" s="2">
        <v>4877121.3284299998</v>
      </c>
      <c r="L37" s="2">
        <v>5043973.5227100002</v>
      </c>
      <c r="M37" s="2">
        <v>5199563.4108899999</v>
      </c>
      <c r="N37" s="2">
        <v>5139441.2334700003</v>
      </c>
      <c r="O37" s="2">
        <v>5080255.8635600004</v>
      </c>
      <c r="P37" s="2">
        <v>5075358.4357799999</v>
      </c>
      <c r="Q37" s="2">
        <v>5028848.96428</v>
      </c>
      <c r="R37" s="2">
        <v>4948247.2662500003</v>
      </c>
    </row>
    <row r="38" spans="1:18" x14ac:dyDescent="0.2">
      <c r="A38" s="25" t="s">
        <v>34</v>
      </c>
      <c r="B38" s="26"/>
      <c r="C38" s="27"/>
      <c r="D38" s="2">
        <f t="shared" si="0"/>
        <v>226811.45703000017</v>
      </c>
      <c r="E38" s="3">
        <f t="shared" si="1"/>
        <v>7.952463489930528E-2</v>
      </c>
      <c r="F38" s="3">
        <v>2852090.51657</v>
      </c>
      <c r="G38" s="2">
        <v>2940945.5246299999</v>
      </c>
      <c r="H38" s="2">
        <v>2932873.9541799999</v>
      </c>
      <c r="I38" s="2">
        <v>2883261.6099399999</v>
      </c>
      <c r="J38" s="2">
        <v>2920501.8801500001</v>
      </c>
      <c r="K38" s="2">
        <v>2961421.9615099998</v>
      </c>
      <c r="L38" s="2">
        <v>2985494.1261399998</v>
      </c>
      <c r="M38" s="2">
        <v>3134453.9469699999</v>
      </c>
      <c r="N38" s="2">
        <v>3141919.4046</v>
      </c>
      <c r="O38" s="2">
        <v>3142813.5200700001</v>
      </c>
      <c r="P38" s="2">
        <v>3162371.6863799999</v>
      </c>
      <c r="Q38" s="2">
        <v>3128271.7593100001</v>
      </c>
      <c r="R38" s="2">
        <v>3078901.9736000001</v>
      </c>
    </row>
    <row r="39" spans="1:18" x14ac:dyDescent="0.2">
      <c r="A39" s="25" t="s">
        <v>29</v>
      </c>
      <c r="B39" s="26"/>
      <c r="C39" s="27"/>
      <c r="D39" s="2">
        <f t="shared" si="0"/>
        <v>48742.7916900001</v>
      </c>
      <c r="E39" s="3">
        <f t="shared" si="1"/>
        <v>2.581094041001708E-2</v>
      </c>
      <c r="F39" s="3">
        <v>1888454.6984999999</v>
      </c>
      <c r="G39" s="2">
        <v>1836509.72389</v>
      </c>
      <c r="H39" s="2">
        <v>1823750.64894</v>
      </c>
      <c r="I39" s="2">
        <v>1803278.9582700001</v>
      </c>
      <c r="J39" s="2">
        <v>1833250.91964</v>
      </c>
      <c r="K39" s="2">
        <v>1874290.38573</v>
      </c>
      <c r="L39" s="2">
        <v>1918094.53183</v>
      </c>
      <c r="M39" s="2">
        <v>1955234.9384699999</v>
      </c>
      <c r="N39" s="2">
        <v>1949724.6414900001</v>
      </c>
      <c r="O39" s="2">
        <v>1944314.5424200001</v>
      </c>
      <c r="P39" s="2">
        <v>1969731.50019</v>
      </c>
      <c r="Q39" s="2">
        <v>1955314.1636300001</v>
      </c>
      <c r="R39" s="2">
        <v>1937197.49019</v>
      </c>
    </row>
    <row r="40" spans="1:18" x14ac:dyDescent="0.2">
      <c r="A40" s="25" t="s">
        <v>35</v>
      </c>
      <c r="B40" s="26"/>
      <c r="C40" s="27"/>
      <c r="D40" s="2">
        <f t="shared" si="0"/>
        <v>-6000</v>
      </c>
      <c r="E40" s="3">
        <f t="shared" si="1"/>
        <v>-6.6481994459833826E-2</v>
      </c>
      <c r="F40" s="3">
        <v>90250</v>
      </c>
      <c r="G40" s="2">
        <v>100250</v>
      </c>
      <c r="H40" s="2">
        <v>100250</v>
      </c>
      <c r="I40" s="2">
        <v>90250</v>
      </c>
      <c r="J40" s="2">
        <v>90250</v>
      </c>
      <c r="K40" s="2">
        <v>90250</v>
      </c>
      <c r="L40" s="2">
        <v>90250</v>
      </c>
      <c r="M40" s="2">
        <v>90250</v>
      </c>
      <c r="N40" s="2">
        <v>90250</v>
      </c>
      <c r="O40" s="2">
        <v>90250</v>
      </c>
      <c r="P40" s="2">
        <v>86250</v>
      </c>
      <c r="Q40" s="2">
        <v>84250</v>
      </c>
      <c r="R40" s="2">
        <v>84250</v>
      </c>
    </row>
    <row r="41" spans="1:18" x14ac:dyDescent="0.2">
      <c r="A41" s="25" t="s">
        <v>36</v>
      </c>
      <c r="B41" s="26"/>
      <c r="C41" s="27"/>
      <c r="D41" s="2">
        <f t="shared" si="0"/>
        <v>62974.808549999958</v>
      </c>
      <c r="E41" s="3">
        <f t="shared" si="1"/>
        <v>3.7815817935263007E-2</v>
      </c>
      <c r="F41" s="3">
        <v>1665303.3568599999</v>
      </c>
      <c r="G41" s="2">
        <v>1603512.3500600001</v>
      </c>
      <c r="H41" s="2">
        <v>1600966.88472</v>
      </c>
      <c r="I41" s="2">
        <v>1598680.9677899999</v>
      </c>
      <c r="J41" s="2">
        <v>1611783.4354000001</v>
      </c>
      <c r="K41" s="2">
        <v>1639931.23074</v>
      </c>
      <c r="L41" s="2">
        <v>1696724.78987</v>
      </c>
      <c r="M41" s="2">
        <v>1731552.5483800001</v>
      </c>
      <c r="N41" s="2">
        <v>1723332.6626800001</v>
      </c>
      <c r="O41" s="2">
        <v>1722628.4285899999</v>
      </c>
      <c r="P41" s="2">
        <v>1732127.9586100001</v>
      </c>
      <c r="Q41" s="2">
        <v>1736679.27526</v>
      </c>
      <c r="R41" s="2">
        <v>1728278.1654099999</v>
      </c>
    </row>
    <row r="42" spans="1:18" x14ac:dyDescent="0.2">
      <c r="A42" s="25" t="s">
        <v>37</v>
      </c>
      <c r="B42" s="26"/>
      <c r="C42" s="27"/>
      <c r="D42" s="2">
        <f t="shared" si="0"/>
        <v>55842.980859999981</v>
      </c>
      <c r="E42" s="3">
        <f t="shared" si="1"/>
        <v>0.30182629031971331</v>
      </c>
      <c r="F42" s="3">
        <v>185016.95396000001</v>
      </c>
      <c r="G42" s="2">
        <v>198648.99231</v>
      </c>
      <c r="H42" s="2">
        <v>199254.29381999999</v>
      </c>
      <c r="I42" s="2">
        <v>195207.59122999999</v>
      </c>
      <c r="J42" s="2">
        <v>192216.53974000001</v>
      </c>
      <c r="K42" s="2">
        <v>198507.27760999999</v>
      </c>
      <c r="L42" s="2">
        <v>210318.82287999999</v>
      </c>
      <c r="M42" s="2">
        <v>260276.06732</v>
      </c>
      <c r="N42" s="2">
        <v>228125.84753999999</v>
      </c>
      <c r="O42" s="2">
        <v>233570.93001000001</v>
      </c>
      <c r="P42" s="2">
        <v>248563.59479</v>
      </c>
      <c r="Q42" s="2">
        <v>255497.73655999999</v>
      </c>
      <c r="R42" s="2">
        <v>240859.93481999999</v>
      </c>
    </row>
    <row r="43" spans="1:18" x14ac:dyDescent="0.2">
      <c r="A43" s="25" t="s">
        <v>38</v>
      </c>
      <c r="B43" s="26"/>
      <c r="C43" s="27"/>
      <c r="D43" s="2">
        <f t="shared" si="0"/>
        <v>-20147.005279999925</v>
      </c>
      <c r="E43" s="3">
        <f t="shared" si="1"/>
        <v>-1.6088288610025425E-2</v>
      </c>
      <c r="F43" s="3">
        <v>1252277.71383</v>
      </c>
      <c r="G43" s="2">
        <v>1182229.92927</v>
      </c>
      <c r="H43" s="2">
        <v>1179121.78195</v>
      </c>
      <c r="I43" s="2">
        <v>1183389.76994</v>
      </c>
      <c r="J43" s="2">
        <v>1194617.2521899999</v>
      </c>
      <c r="K43" s="2">
        <v>1216615.2901000001</v>
      </c>
      <c r="L43" s="2">
        <v>1244315.55104</v>
      </c>
      <c r="M43" s="2">
        <v>1228041.0296199999</v>
      </c>
      <c r="N43" s="2">
        <v>1239301.19145</v>
      </c>
      <c r="O43" s="2">
        <v>1233095.2467400001</v>
      </c>
      <c r="P43" s="2">
        <v>1224306.10607</v>
      </c>
      <c r="Q43" s="2">
        <v>1227019.4613600001</v>
      </c>
      <c r="R43" s="2">
        <v>1232130.7085500001</v>
      </c>
    </row>
    <row r="44" spans="1:18" x14ac:dyDescent="0.2">
      <c r="A44" s="25" t="s">
        <v>39</v>
      </c>
      <c r="B44" s="26"/>
      <c r="C44" s="27"/>
      <c r="D44" s="2">
        <f t="shared" si="0"/>
        <v>27278.832970000018</v>
      </c>
      <c r="E44" s="3">
        <f t="shared" si="1"/>
        <v>0.11963944480039213</v>
      </c>
      <c r="F44" s="3">
        <v>228008.68906999999</v>
      </c>
      <c r="G44" s="2">
        <v>222633.42848</v>
      </c>
      <c r="H44" s="2">
        <v>222590.80895000001</v>
      </c>
      <c r="I44" s="2">
        <v>220083.60662000001</v>
      </c>
      <c r="J44" s="2">
        <v>224949.64347000001</v>
      </c>
      <c r="K44" s="2">
        <v>224808.66303</v>
      </c>
      <c r="L44" s="2">
        <v>242090.41595</v>
      </c>
      <c r="M44" s="2">
        <v>243235.45144</v>
      </c>
      <c r="N44" s="2">
        <v>255905.62369000001</v>
      </c>
      <c r="O44" s="2">
        <v>255962.25184000001</v>
      </c>
      <c r="P44" s="2">
        <v>259258.25774999999</v>
      </c>
      <c r="Q44" s="2">
        <v>254162.07733999999</v>
      </c>
      <c r="R44" s="2">
        <v>255287.52204000001</v>
      </c>
    </row>
    <row r="45" spans="1:18" x14ac:dyDescent="0.2">
      <c r="A45" s="25" t="s">
        <v>40</v>
      </c>
      <c r="B45" s="26"/>
      <c r="C45" s="27"/>
      <c r="D45" s="2">
        <f t="shared" si="0"/>
        <v>-8232.0168600000034</v>
      </c>
      <c r="E45" s="3">
        <f t="shared" si="1"/>
        <v>-6.1940810818138292E-2</v>
      </c>
      <c r="F45" s="3">
        <v>132901.34164</v>
      </c>
      <c r="G45" s="2">
        <v>132747.37383</v>
      </c>
      <c r="H45" s="2">
        <v>122533.76422</v>
      </c>
      <c r="I45" s="2">
        <v>114347.99047999999</v>
      </c>
      <c r="J45" s="2">
        <v>131217.48423999999</v>
      </c>
      <c r="K45" s="2">
        <v>144109.15499000001</v>
      </c>
      <c r="L45" s="2">
        <v>131119.74196000001</v>
      </c>
      <c r="M45" s="2">
        <v>133432.39009</v>
      </c>
      <c r="N45" s="2">
        <v>136141.97881</v>
      </c>
      <c r="O45" s="2">
        <v>131436.11382999999</v>
      </c>
      <c r="P45" s="2">
        <v>151353.54157999999</v>
      </c>
      <c r="Q45" s="2">
        <v>134384.88837</v>
      </c>
      <c r="R45" s="2">
        <v>124669.32478</v>
      </c>
    </row>
    <row r="46" spans="1:18" x14ac:dyDescent="0.2">
      <c r="A46" s="25" t="s">
        <v>37</v>
      </c>
      <c r="B46" s="26"/>
      <c r="C46" s="27"/>
      <c r="D46" s="2">
        <f t="shared" si="0"/>
        <v>-5209.4168200000022</v>
      </c>
      <c r="E46" s="3">
        <f t="shared" si="1"/>
        <v>-0.30209910181333754</v>
      </c>
      <c r="F46" s="3">
        <v>17244.065900000001</v>
      </c>
      <c r="G46" s="2">
        <v>17292.19225</v>
      </c>
      <c r="H46" s="2">
        <v>19093.225409999999</v>
      </c>
      <c r="I46" s="2">
        <v>18922.619729999999</v>
      </c>
      <c r="J46" s="2">
        <v>19377.845020000001</v>
      </c>
      <c r="K46" s="2">
        <v>19565.210640000001</v>
      </c>
      <c r="L46" s="2">
        <v>17372.162420000001</v>
      </c>
      <c r="M46" s="2">
        <v>17594.367920000001</v>
      </c>
      <c r="N46" s="2">
        <v>24283.08527</v>
      </c>
      <c r="O46" s="2">
        <v>18607.068350000001</v>
      </c>
      <c r="P46" s="2">
        <v>18165.93305</v>
      </c>
      <c r="Q46" s="2">
        <v>18270.516879999999</v>
      </c>
      <c r="R46" s="2">
        <v>12034.649079999999</v>
      </c>
    </row>
    <row r="47" spans="1:18" x14ac:dyDescent="0.2">
      <c r="A47" s="25" t="s">
        <v>38</v>
      </c>
      <c r="B47" s="26"/>
      <c r="C47" s="27"/>
      <c r="D47" s="2">
        <f t="shared" si="0"/>
        <v>-3022.6000399999903</v>
      </c>
      <c r="E47" s="3">
        <f t="shared" si="1"/>
        <v>-2.6134110635589014E-2</v>
      </c>
      <c r="F47" s="3">
        <v>115657.27574</v>
      </c>
      <c r="G47" s="2">
        <v>115455.18158</v>
      </c>
      <c r="H47" s="2">
        <v>103440.53881</v>
      </c>
      <c r="I47" s="2">
        <v>95425.370750000002</v>
      </c>
      <c r="J47" s="2">
        <v>111839.63922</v>
      </c>
      <c r="K47" s="2">
        <v>124543.94435000001</v>
      </c>
      <c r="L47" s="2">
        <v>113747.57954000001</v>
      </c>
      <c r="M47" s="2">
        <v>115838.02217</v>
      </c>
      <c r="N47" s="2">
        <v>111858.89354</v>
      </c>
      <c r="O47" s="2">
        <v>112829.04548</v>
      </c>
      <c r="P47" s="2">
        <v>133187.60853</v>
      </c>
      <c r="Q47" s="2">
        <v>116114.37149</v>
      </c>
      <c r="R47" s="2">
        <v>112634.67570000001</v>
      </c>
    </row>
    <row r="48" spans="1:18" x14ac:dyDescent="0.2">
      <c r="A48" s="25" t="s">
        <v>30</v>
      </c>
      <c r="B48" s="26"/>
      <c r="C48" s="27"/>
      <c r="D48" s="2">
        <f t="shared" si="0"/>
        <v>178068.66534000007</v>
      </c>
      <c r="E48" s="3">
        <f t="shared" si="1"/>
        <v>0.18478834223559848</v>
      </c>
      <c r="F48" s="3">
        <v>963635.81807000004</v>
      </c>
      <c r="G48" s="2">
        <v>1104435.8007400001</v>
      </c>
      <c r="H48" s="2">
        <v>1109123.3052399999</v>
      </c>
      <c r="I48" s="2">
        <v>1079982.6516700001</v>
      </c>
      <c r="J48" s="2">
        <v>1087250.9605099999</v>
      </c>
      <c r="K48" s="2">
        <v>1087131.5757800001</v>
      </c>
      <c r="L48" s="2">
        <v>1067399.5943100001</v>
      </c>
      <c r="M48" s="2">
        <v>1179219.0085</v>
      </c>
      <c r="N48" s="2">
        <v>1192194.7631099999</v>
      </c>
      <c r="O48" s="2">
        <v>1198498.97765</v>
      </c>
      <c r="P48" s="2">
        <v>1192640.18619</v>
      </c>
      <c r="Q48" s="2">
        <v>1172957.59568</v>
      </c>
      <c r="R48" s="2">
        <v>1141704.4834100001</v>
      </c>
    </row>
    <row r="49" spans="1:18" x14ac:dyDescent="0.2">
      <c r="A49" s="25" t="s">
        <v>35</v>
      </c>
      <c r="B49" s="26"/>
      <c r="C49" s="27"/>
      <c r="D49" s="2">
        <f t="shared" si="0"/>
        <v>0</v>
      </c>
      <c r="E49" s="3">
        <v>0</v>
      </c>
      <c r="F49" s="3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</row>
    <row r="50" spans="1:18" x14ac:dyDescent="0.2">
      <c r="A50" s="25" t="s">
        <v>36</v>
      </c>
      <c r="B50" s="26"/>
      <c r="C50" s="27"/>
      <c r="D50" s="2">
        <f t="shared" si="0"/>
        <v>24559.846239999984</v>
      </c>
      <c r="E50" s="3">
        <f t="shared" si="1"/>
        <v>2.7355566106385787E-2</v>
      </c>
      <c r="F50" s="3">
        <v>897800.69417999999</v>
      </c>
      <c r="G50" s="2">
        <v>949832.60444000002</v>
      </c>
      <c r="H50" s="2">
        <v>969975.59343999997</v>
      </c>
      <c r="I50" s="2">
        <v>973031.61410000001</v>
      </c>
      <c r="J50" s="2">
        <v>980199.50245000003</v>
      </c>
      <c r="K50" s="2">
        <v>980793.88187000004</v>
      </c>
      <c r="L50" s="2">
        <v>940987.43475000001</v>
      </c>
      <c r="M50" s="2">
        <v>934842.47808000003</v>
      </c>
      <c r="N50" s="2">
        <v>946067.33138999995</v>
      </c>
      <c r="O50" s="2">
        <v>952117.91407000006</v>
      </c>
      <c r="P50" s="2">
        <v>952781.50733000005</v>
      </c>
      <c r="Q50" s="2">
        <v>954547.70189000003</v>
      </c>
      <c r="R50" s="2">
        <v>922360.54041999998</v>
      </c>
    </row>
    <row r="51" spans="1:18" x14ac:dyDescent="0.2">
      <c r="A51" s="25" t="s">
        <v>37</v>
      </c>
      <c r="B51" s="26"/>
      <c r="C51" s="27"/>
      <c r="D51" s="2">
        <f t="shared" si="0"/>
        <v>-25683.899260000006</v>
      </c>
      <c r="E51" s="3">
        <f t="shared" si="1"/>
        <v>-0.15342384663265296</v>
      </c>
      <c r="F51" s="3">
        <v>167404.87104</v>
      </c>
      <c r="G51" s="2">
        <v>255084.59039</v>
      </c>
      <c r="H51" s="2">
        <v>271741.96651</v>
      </c>
      <c r="I51" s="2">
        <v>241455.49656999999</v>
      </c>
      <c r="J51" s="2">
        <v>243598.91886000001</v>
      </c>
      <c r="K51" s="2">
        <v>236253.44829</v>
      </c>
      <c r="L51" s="2">
        <v>135724.66107</v>
      </c>
      <c r="M51" s="2">
        <v>127403.53068</v>
      </c>
      <c r="N51" s="2">
        <v>130130.193</v>
      </c>
      <c r="O51" s="2">
        <v>133555.01491</v>
      </c>
      <c r="P51" s="2">
        <v>142052.35511999999</v>
      </c>
      <c r="Q51" s="2">
        <v>149589.49625</v>
      </c>
      <c r="R51" s="2">
        <v>141720.97177999999</v>
      </c>
    </row>
    <row r="52" spans="1:18" x14ac:dyDescent="0.2">
      <c r="A52" s="25" t="s">
        <v>38</v>
      </c>
      <c r="B52" s="26"/>
      <c r="C52" s="27"/>
      <c r="D52" s="2">
        <f t="shared" si="0"/>
        <v>78447.989790000021</v>
      </c>
      <c r="E52" s="3">
        <f t="shared" si="1"/>
        <v>0.13697093628693047</v>
      </c>
      <c r="F52" s="3">
        <v>572734.56629999995</v>
      </c>
      <c r="G52" s="2">
        <v>490833.34457000002</v>
      </c>
      <c r="H52" s="2">
        <v>501399.98508999997</v>
      </c>
      <c r="I52" s="2">
        <v>535303.69481000002</v>
      </c>
      <c r="J52" s="2">
        <v>545947.34868000005</v>
      </c>
      <c r="K52" s="2">
        <v>562815.75055</v>
      </c>
      <c r="L52" s="2">
        <v>666173.74968000001</v>
      </c>
      <c r="M52" s="2">
        <v>670520.45704999997</v>
      </c>
      <c r="N52" s="2">
        <v>668225.27598000003</v>
      </c>
      <c r="O52" s="2">
        <v>671789.27650000004</v>
      </c>
      <c r="P52" s="2">
        <v>675862.74595999997</v>
      </c>
      <c r="Q52" s="2">
        <v>669220.62898000004</v>
      </c>
      <c r="R52" s="2">
        <v>651182.55608999997</v>
      </c>
    </row>
    <row r="53" spans="1:18" x14ac:dyDescent="0.2">
      <c r="A53" s="25" t="s">
        <v>39</v>
      </c>
      <c r="B53" s="26"/>
      <c r="C53" s="27"/>
      <c r="D53" s="2">
        <f t="shared" si="0"/>
        <v>-28204.244289999988</v>
      </c>
      <c r="E53" s="3">
        <f t="shared" si="1"/>
        <v>-0.17889140842396445</v>
      </c>
      <c r="F53" s="3">
        <v>157661.25683999999</v>
      </c>
      <c r="G53" s="2">
        <v>203914.66948000001</v>
      </c>
      <c r="H53" s="2">
        <v>196833.64184</v>
      </c>
      <c r="I53" s="2">
        <v>196272.42272</v>
      </c>
      <c r="J53" s="2">
        <v>190653.23491</v>
      </c>
      <c r="K53" s="2">
        <v>181724.68302999999</v>
      </c>
      <c r="L53" s="2">
        <v>139089.024</v>
      </c>
      <c r="M53" s="2">
        <v>136918.49035000001</v>
      </c>
      <c r="N53" s="2">
        <v>147711.86241</v>
      </c>
      <c r="O53" s="2">
        <v>146773.62265999999</v>
      </c>
      <c r="P53" s="2">
        <v>134866.40625</v>
      </c>
      <c r="Q53" s="2">
        <v>135737.57665999999</v>
      </c>
      <c r="R53" s="2">
        <v>129457.01255</v>
      </c>
    </row>
    <row r="54" spans="1:18" x14ac:dyDescent="0.2">
      <c r="A54" s="25" t="s">
        <v>40</v>
      </c>
      <c r="B54" s="26"/>
      <c r="C54" s="27"/>
      <c r="D54" s="2">
        <f t="shared" si="0"/>
        <v>153508.81910000002</v>
      </c>
      <c r="E54" s="3">
        <f t="shared" si="1"/>
        <v>2.3317161118507013</v>
      </c>
      <c r="F54" s="3">
        <v>65835.123890000003</v>
      </c>
      <c r="G54" s="2">
        <v>154603.19630000001</v>
      </c>
      <c r="H54" s="2">
        <v>139147.71179999999</v>
      </c>
      <c r="I54" s="2">
        <v>106951.03757</v>
      </c>
      <c r="J54" s="2">
        <v>107051.45806</v>
      </c>
      <c r="K54" s="2">
        <v>106337.69391</v>
      </c>
      <c r="L54" s="2">
        <v>126412.15956</v>
      </c>
      <c r="M54" s="2">
        <v>244376.53042</v>
      </c>
      <c r="N54" s="2">
        <v>246127.43171999999</v>
      </c>
      <c r="O54" s="2">
        <v>246381.06357999999</v>
      </c>
      <c r="P54" s="2">
        <v>239858.67886000001</v>
      </c>
      <c r="Q54" s="2">
        <v>218409.89379</v>
      </c>
      <c r="R54" s="2">
        <v>219343.94299000001</v>
      </c>
    </row>
    <row r="55" spans="1:18" x14ac:dyDescent="0.2">
      <c r="A55" s="25" t="s">
        <v>37</v>
      </c>
      <c r="B55" s="26"/>
      <c r="C55" s="27"/>
      <c r="D55" s="2">
        <f t="shared" si="0"/>
        <v>60284.093099999998</v>
      </c>
      <c r="E55" s="3">
        <f t="shared" si="1"/>
        <v>1.4073519024903187</v>
      </c>
      <c r="F55" s="3">
        <v>42835.123890000003</v>
      </c>
      <c r="G55" s="2">
        <v>89403.196299999996</v>
      </c>
      <c r="H55" s="2">
        <v>77447.711800000005</v>
      </c>
      <c r="I55" s="2">
        <v>70751.03757</v>
      </c>
      <c r="J55" s="2">
        <v>69851.458060000004</v>
      </c>
      <c r="K55" s="2">
        <v>79137.693910000002</v>
      </c>
      <c r="L55" s="2">
        <v>104412.15956</v>
      </c>
      <c r="M55" s="2">
        <v>112376.53042</v>
      </c>
      <c r="N55" s="2">
        <v>114127.43171999999</v>
      </c>
      <c r="O55" s="2">
        <v>114381.06358</v>
      </c>
      <c r="P55" s="2">
        <v>105353.46485999999</v>
      </c>
      <c r="Q55" s="2">
        <v>103904.67978999999</v>
      </c>
      <c r="R55" s="2">
        <v>103119.21699</v>
      </c>
    </row>
    <row r="56" spans="1:18" x14ac:dyDescent="0.2">
      <c r="A56" s="25" t="s">
        <v>38</v>
      </c>
      <c r="B56" s="26"/>
      <c r="C56" s="27"/>
      <c r="D56" s="2">
        <f t="shared" si="0"/>
        <v>93224.725999999995</v>
      </c>
      <c r="E56" s="3">
        <f t="shared" si="1"/>
        <v>4.0532489565217391</v>
      </c>
      <c r="F56" s="3">
        <v>23000</v>
      </c>
      <c r="G56" s="2">
        <v>65200</v>
      </c>
      <c r="H56" s="2">
        <v>61700</v>
      </c>
      <c r="I56" s="2">
        <v>36200</v>
      </c>
      <c r="J56" s="2">
        <v>37200</v>
      </c>
      <c r="K56" s="2">
        <v>27200</v>
      </c>
      <c r="L56" s="2">
        <v>22000</v>
      </c>
      <c r="M56" s="2">
        <v>132000</v>
      </c>
      <c r="N56" s="2">
        <v>132000</v>
      </c>
      <c r="O56" s="2">
        <v>132000</v>
      </c>
      <c r="P56" s="2">
        <v>134505.21400000001</v>
      </c>
      <c r="Q56" s="2">
        <v>114505.21400000001</v>
      </c>
      <c r="R56" s="2">
        <v>116224.726</v>
      </c>
    </row>
    <row r="57" spans="1:18" x14ac:dyDescent="0.2">
      <c r="A57" s="25" t="s">
        <v>41</v>
      </c>
      <c r="B57" s="26"/>
      <c r="C57" s="27"/>
      <c r="D57" s="2">
        <f t="shared" si="0"/>
        <v>31984.191420000046</v>
      </c>
      <c r="E57" s="3">
        <f t="shared" si="1"/>
        <v>2.9666858873521385E-2</v>
      </c>
      <c r="F57" s="3">
        <v>1078111.8269499999</v>
      </c>
      <c r="G57" s="2">
        <v>1108085.6814600001</v>
      </c>
      <c r="H57" s="2">
        <v>1106498.7535000001</v>
      </c>
      <c r="I57" s="2">
        <v>1105884.4130899999</v>
      </c>
      <c r="J57" s="2">
        <v>1118250.89677</v>
      </c>
      <c r="K57" s="2">
        <v>1065914.0551499999</v>
      </c>
      <c r="L57" s="2">
        <v>1245594.3775200001</v>
      </c>
      <c r="M57" s="2">
        <v>1226025.3574999999</v>
      </c>
      <c r="N57" s="2">
        <v>1205646.0899700001</v>
      </c>
      <c r="O57" s="2">
        <v>1172592.32057</v>
      </c>
      <c r="P57" s="2">
        <v>1166559.68502</v>
      </c>
      <c r="Q57" s="2">
        <v>1133143.5048499999</v>
      </c>
      <c r="R57" s="2">
        <v>1110096.0183699999</v>
      </c>
    </row>
    <row r="58" spans="1:18" x14ac:dyDescent="0.2">
      <c r="A58" s="25" t="s">
        <v>29</v>
      </c>
      <c r="B58" s="26"/>
      <c r="C58" s="27"/>
      <c r="D58" s="2">
        <f t="shared" si="0"/>
        <v>20081.550190000009</v>
      </c>
      <c r="E58" s="3">
        <f t="shared" si="1"/>
        <v>0.17100886584650365</v>
      </c>
      <c r="F58" s="3">
        <v>117429.87763</v>
      </c>
      <c r="G58" s="2">
        <v>70450</v>
      </c>
      <c r="H58" s="2">
        <v>69200</v>
      </c>
      <c r="I58" s="2">
        <v>90051.372759999998</v>
      </c>
      <c r="J58" s="2">
        <v>89825.228210000001</v>
      </c>
      <c r="K58" s="2">
        <v>95805.995500000005</v>
      </c>
      <c r="L58" s="2">
        <v>148265.12521999999</v>
      </c>
      <c r="M58" s="2">
        <v>145225.68513999999</v>
      </c>
      <c r="N58" s="2">
        <v>134120.06688999999</v>
      </c>
      <c r="O58" s="2">
        <v>135900.97146999999</v>
      </c>
      <c r="P58" s="2">
        <v>159149.29363</v>
      </c>
      <c r="Q58" s="2">
        <v>130578.84144</v>
      </c>
      <c r="R58" s="2">
        <v>137511.42782000001</v>
      </c>
    </row>
    <row r="59" spans="1:18" x14ac:dyDescent="0.2">
      <c r="A59" s="25" t="s">
        <v>30</v>
      </c>
      <c r="B59" s="26"/>
      <c r="C59" s="27"/>
      <c r="D59" s="2">
        <f t="shared" si="0"/>
        <v>11902.64122999995</v>
      </c>
      <c r="E59" s="3">
        <f t="shared" si="1"/>
        <v>1.2389783360065243E-2</v>
      </c>
      <c r="F59" s="3">
        <v>960681.94932000001</v>
      </c>
      <c r="G59" s="2">
        <v>1037635.68146</v>
      </c>
      <c r="H59" s="2">
        <v>1037298.7535</v>
      </c>
      <c r="I59" s="2">
        <v>1015833.04033</v>
      </c>
      <c r="J59" s="2">
        <v>1028425.66856</v>
      </c>
      <c r="K59" s="2">
        <v>970108.05964999995</v>
      </c>
      <c r="L59" s="2">
        <v>1097329.2523000001</v>
      </c>
      <c r="M59" s="2">
        <v>1080799.67236</v>
      </c>
      <c r="N59" s="2">
        <v>1071526.02308</v>
      </c>
      <c r="O59" s="2">
        <v>1036691.3491</v>
      </c>
      <c r="P59" s="2">
        <v>1007410.39139</v>
      </c>
      <c r="Q59" s="2">
        <v>1002564.66341</v>
      </c>
      <c r="R59" s="2">
        <v>972584.59054999996</v>
      </c>
    </row>
    <row r="60" spans="1:18" x14ac:dyDescent="0.2">
      <c r="A60" s="25" t="s">
        <v>42</v>
      </c>
      <c r="B60" s="26"/>
      <c r="C60" s="27"/>
      <c r="D60" s="2">
        <f t="shared" si="0"/>
        <v>56092.638210000005</v>
      </c>
      <c r="E60" s="3">
        <f t="shared" si="1"/>
        <v>0.20445078822117568</v>
      </c>
      <c r="F60" s="3">
        <v>274357.65201999998</v>
      </c>
      <c r="G60" s="2">
        <v>261496.19667999999</v>
      </c>
      <c r="H60" s="2">
        <v>267188.10603999998</v>
      </c>
      <c r="I60" s="2">
        <v>295020.25915</v>
      </c>
      <c r="J60" s="2">
        <v>283164.51380000002</v>
      </c>
      <c r="K60" s="2">
        <v>301305.47457000002</v>
      </c>
      <c r="L60" s="2">
        <v>287419.68531999999</v>
      </c>
      <c r="M60" s="2">
        <v>306370.23051999998</v>
      </c>
      <c r="N60" s="2">
        <v>301294.25266</v>
      </c>
      <c r="O60" s="2">
        <v>296597.20686999999</v>
      </c>
      <c r="P60" s="2">
        <v>319520.59895999997</v>
      </c>
      <c r="Q60" s="2">
        <v>335744.46474999998</v>
      </c>
      <c r="R60" s="2">
        <v>330450.29022999998</v>
      </c>
    </row>
    <row r="61" spans="1:18" x14ac:dyDescent="0.2">
      <c r="A61" s="25" t="s">
        <v>29</v>
      </c>
      <c r="B61" s="26"/>
      <c r="C61" s="27"/>
      <c r="D61" s="2">
        <f t="shared" si="0"/>
        <v>54411.337570000003</v>
      </c>
      <c r="E61" s="3">
        <f t="shared" si="1"/>
        <v>0.21974475730563836</v>
      </c>
      <c r="F61" s="3">
        <v>247611.53912</v>
      </c>
      <c r="G61" s="2">
        <v>239323.72761999999</v>
      </c>
      <c r="H61" s="2">
        <v>242087.79386999999</v>
      </c>
      <c r="I61" s="2">
        <v>268497.46656999999</v>
      </c>
      <c r="J61" s="2">
        <v>253722.13844000001</v>
      </c>
      <c r="K61" s="2">
        <v>275075.02662999998</v>
      </c>
      <c r="L61" s="2">
        <v>259462.37909</v>
      </c>
      <c r="M61" s="2">
        <v>276898.19887000002</v>
      </c>
      <c r="N61" s="2">
        <v>269018.71812999999</v>
      </c>
      <c r="O61" s="2">
        <v>264334.51101999998</v>
      </c>
      <c r="P61" s="2">
        <v>288882.93962999998</v>
      </c>
      <c r="Q61" s="2">
        <v>307657.00102000003</v>
      </c>
      <c r="R61" s="2">
        <v>302022.87669</v>
      </c>
    </row>
    <row r="62" spans="1:18" x14ac:dyDescent="0.2">
      <c r="A62" s="25" t="s">
        <v>30</v>
      </c>
      <c r="B62" s="26"/>
      <c r="C62" s="27"/>
      <c r="D62" s="2">
        <f t="shared" si="0"/>
        <v>1681.3006400000013</v>
      </c>
      <c r="E62" s="3">
        <f t="shared" si="1"/>
        <v>6.2861494912780369E-2</v>
      </c>
      <c r="F62" s="3">
        <v>26746.1129</v>
      </c>
      <c r="G62" s="2">
        <v>22172.469059999999</v>
      </c>
      <c r="H62" s="2">
        <v>25100.312170000001</v>
      </c>
      <c r="I62" s="2">
        <v>26522.792580000001</v>
      </c>
      <c r="J62" s="2">
        <v>29442.375359999998</v>
      </c>
      <c r="K62" s="2">
        <v>26230.447939999998</v>
      </c>
      <c r="L62" s="2">
        <v>27957.306229999998</v>
      </c>
      <c r="M62" s="2">
        <v>29472.031650000001</v>
      </c>
      <c r="N62" s="2">
        <v>32275.534530000001</v>
      </c>
      <c r="O62" s="2">
        <v>32262.69585</v>
      </c>
      <c r="P62" s="2">
        <v>30637.659329999999</v>
      </c>
      <c r="Q62" s="2">
        <v>28087.463729999999</v>
      </c>
      <c r="R62" s="2">
        <v>28427.413540000001</v>
      </c>
    </row>
    <row r="63" spans="1:18" x14ac:dyDescent="0.2">
      <c r="A63" s="25" t="s">
        <v>43</v>
      </c>
      <c r="B63" s="26"/>
      <c r="C63" s="27"/>
      <c r="D63" s="2">
        <f t="shared" si="0"/>
        <v>-151478.66414000001</v>
      </c>
      <c r="E63" s="3">
        <f t="shared" si="1"/>
        <v>-0.26104514727953221</v>
      </c>
      <c r="F63" s="3">
        <v>580277.64821000001</v>
      </c>
      <c r="G63" s="2">
        <v>532857.76636999997</v>
      </c>
      <c r="H63" s="2">
        <v>535900.42997000006</v>
      </c>
      <c r="I63" s="2">
        <v>540402.48970999999</v>
      </c>
      <c r="J63" s="2">
        <v>542479.68762999994</v>
      </c>
      <c r="K63" s="2">
        <v>548479.83718999999</v>
      </c>
      <c r="L63" s="2">
        <v>525465.33372999995</v>
      </c>
      <c r="M63" s="2">
        <v>532713.87589999998</v>
      </c>
      <c r="N63" s="2">
        <v>490581.48624</v>
      </c>
      <c r="O63" s="2">
        <v>468252.81605000002</v>
      </c>
      <c r="P63" s="2">
        <v>426906.46542000002</v>
      </c>
      <c r="Q63" s="2">
        <v>431689.23535999999</v>
      </c>
      <c r="R63" s="2">
        <v>428798.98407000001</v>
      </c>
    </row>
    <row r="64" spans="1:18" x14ac:dyDescent="0.2">
      <c r="A64" s="25" t="s">
        <v>44</v>
      </c>
      <c r="B64" s="26"/>
      <c r="C64" s="27"/>
      <c r="D64" s="2">
        <f t="shared" si="0"/>
        <v>-96545.94604000001</v>
      </c>
      <c r="E64" s="3">
        <f t="shared" si="1"/>
        <v>-0.33518362991477035</v>
      </c>
      <c r="F64" s="3">
        <v>288038.96558000002</v>
      </c>
      <c r="G64" s="2">
        <v>288038.96554</v>
      </c>
      <c r="H64" s="2">
        <v>288038.96554</v>
      </c>
      <c r="I64" s="2">
        <v>288038.96554</v>
      </c>
      <c r="J64" s="2">
        <v>288038.96554</v>
      </c>
      <c r="K64" s="2">
        <v>288038.96554</v>
      </c>
      <c r="L64" s="2">
        <v>293493.01954000001</v>
      </c>
      <c r="M64" s="2">
        <v>293493.01954000001</v>
      </c>
      <c r="N64" s="2">
        <v>251493.01954000001</v>
      </c>
      <c r="O64" s="2">
        <v>231493.01954000001</v>
      </c>
      <c r="P64" s="2">
        <v>191493.01954000001</v>
      </c>
      <c r="Q64" s="2">
        <v>191493.01954000001</v>
      </c>
      <c r="R64" s="2">
        <v>191493.01954000001</v>
      </c>
    </row>
    <row r="65" spans="1:18" x14ac:dyDescent="0.2">
      <c r="A65" s="25" t="s">
        <v>45</v>
      </c>
      <c r="B65" s="26"/>
      <c r="C65" s="27"/>
      <c r="D65" s="2">
        <f t="shared" si="0"/>
        <v>0</v>
      </c>
      <c r="E65" s="3">
        <v>0</v>
      </c>
      <c r="F65" s="3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</row>
    <row r="66" spans="1:18" x14ac:dyDescent="0.2">
      <c r="A66" s="25" t="s">
        <v>46</v>
      </c>
      <c r="B66" s="26"/>
      <c r="C66" s="27"/>
      <c r="D66" s="2">
        <f t="shared" si="0"/>
        <v>23988.67985</v>
      </c>
      <c r="E66" s="3">
        <f t="shared" si="1"/>
        <v>0.42724811485968095</v>
      </c>
      <c r="F66" s="3">
        <v>56146.95306</v>
      </c>
      <c r="G66" s="2">
        <v>56313.588060000002</v>
      </c>
      <c r="H66" s="2">
        <v>56418.643830000001</v>
      </c>
      <c r="I66" s="2">
        <v>57932.846870000001</v>
      </c>
      <c r="J66" s="2">
        <v>57904.837610000002</v>
      </c>
      <c r="K66" s="2">
        <v>56153.766320000002</v>
      </c>
      <c r="L66" s="2">
        <v>52971.096129999998</v>
      </c>
      <c r="M66" s="2">
        <v>53083.135419999999</v>
      </c>
      <c r="N66" s="2">
        <v>54508.659379999997</v>
      </c>
      <c r="O66" s="2">
        <v>81186.104550000004</v>
      </c>
      <c r="P66" s="2">
        <v>74674.912339999995</v>
      </c>
      <c r="Q66" s="2">
        <v>70800.941760000002</v>
      </c>
      <c r="R66" s="2">
        <v>80135.63291</v>
      </c>
    </row>
    <row r="67" spans="1:18" x14ac:dyDescent="0.2">
      <c r="A67" s="25" t="s">
        <v>47</v>
      </c>
      <c r="B67" s="26"/>
      <c r="C67" s="27"/>
      <c r="D67" s="2">
        <f t="shared" si="0"/>
        <v>15072.201670000002</v>
      </c>
      <c r="E67" s="3">
        <f t="shared" si="1"/>
        <v>0.33097727804126542</v>
      </c>
      <c r="F67" s="3">
        <v>45538.47853</v>
      </c>
      <c r="G67" s="2">
        <v>45538.47853</v>
      </c>
      <c r="H67" s="2">
        <v>45538.47853</v>
      </c>
      <c r="I67" s="2">
        <v>45538.47853</v>
      </c>
      <c r="J67" s="2">
        <v>45538.47853</v>
      </c>
      <c r="K67" s="2">
        <v>45538.47853</v>
      </c>
      <c r="L67" s="2">
        <v>51217.249020000003</v>
      </c>
      <c r="M67" s="2">
        <v>51217.249020000003</v>
      </c>
      <c r="N67" s="2">
        <v>51217.249029999999</v>
      </c>
      <c r="O67" s="2">
        <v>51883.859089999998</v>
      </c>
      <c r="P67" s="2">
        <v>1342.54224</v>
      </c>
      <c r="Q67" s="2">
        <v>51883.859089999998</v>
      </c>
      <c r="R67" s="2">
        <v>60610.680200000003</v>
      </c>
    </row>
    <row r="68" spans="1:18" x14ac:dyDescent="0.2">
      <c r="A68" s="25" t="s">
        <v>48</v>
      </c>
      <c r="B68" s="26"/>
      <c r="C68" s="27"/>
      <c r="D68" s="2">
        <f t="shared" si="0"/>
        <v>8916.4781800000019</v>
      </c>
      <c r="E68" s="3">
        <f t="shared" si="1"/>
        <v>0.84050521635178055</v>
      </c>
      <c r="F68" s="3">
        <v>10608.47453</v>
      </c>
      <c r="G68" s="2">
        <v>10775.10953</v>
      </c>
      <c r="H68" s="2">
        <v>10880.165300000001</v>
      </c>
      <c r="I68" s="2">
        <v>12394.368340000001</v>
      </c>
      <c r="J68" s="2">
        <v>12366.35908</v>
      </c>
      <c r="K68" s="2">
        <v>10615.28779</v>
      </c>
      <c r="L68" s="2">
        <v>1753.8471099999999</v>
      </c>
      <c r="M68" s="2">
        <v>1865.8864000000001</v>
      </c>
      <c r="N68" s="2">
        <v>3291.4103500000001</v>
      </c>
      <c r="O68" s="2">
        <v>29302.245459999998</v>
      </c>
      <c r="P68" s="2">
        <v>73332.3701</v>
      </c>
      <c r="Q68" s="2">
        <v>18917.08267</v>
      </c>
      <c r="R68" s="2">
        <v>19524.952710000001</v>
      </c>
    </row>
    <row r="69" spans="1:18" x14ac:dyDescent="0.2">
      <c r="A69" s="25" t="s">
        <v>49</v>
      </c>
      <c r="B69" s="26"/>
      <c r="C69" s="27"/>
      <c r="D69" s="2">
        <f t="shared" si="0"/>
        <v>-10256.939860000013</v>
      </c>
      <c r="E69" s="3">
        <f t="shared" si="1"/>
        <v>-5.6086250894884393E-2</v>
      </c>
      <c r="F69" s="3">
        <v>182877.97270000001</v>
      </c>
      <c r="G69" s="2">
        <v>197347.11215</v>
      </c>
      <c r="H69" s="2">
        <v>196457.15857</v>
      </c>
      <c r="I69" s="2">
        <v>185082.97044999999</v>
      </c>
      <c r="J69" s="2">
        <v>185544.79394</v>
      </c>
      <c r="K69" s="2">
        <v>186593.47927000001</v>
      </c>
      <c r="L69" s="2">
        <v>205758.83348999999</v>
      </c>
      <c r="M69" s="2">
        <v>204114.09035000001</v>
      </c>
      <c r="N69" s="2">
        <v>203169.81086999999</v>
      </c>
      <c r="O69" s="2">
        <v>175720.28180999999</v>
      </c>
      <c r="P69" s="2">
        <v>183052.90473000001</v>
      </c>
      <c r="Q69" s="2">
        <v>186853.28414999999</v>
      </c>
      <c r="R69" s="2">
        <v>172621.03284</v>
      </c>
    </row>
    <row r="70" spans="1:18" x14ac:dyDescent="0.2">
      <c r="A70" s="25" t="s">
        <v>50</v>
      </c>
      <c r="B70" s="26"/>
      <c r="C70" s="27"/>
      <c r="D70" s="2">
        <f t="shared" si="0"/>
        <v>-79543.178670000008</v>
      </c>
      <c r="E70" s="3">
        <f t="shared" si="1"/>
        <v>-1.4025749942784844</v>
      </c>
      <c r="F70" s="3">
        <v>56712.246400000004</v>
      </c>
      <c r="G70" s="2">
        <v>8015.9627200000004</v>
      </c>
      <c r="H70" s="2">
        <v>11680.650869999999</v>
      </c>
      <c r="I70" s="2">
        <v>19184.36548</v>
      </c>
      <c r="J70" s="2">
        <v>21217.276109999999</v>
      </c>
      <c r="K70" s="2">
        <v>23723.742040000001</v>
      </c>
      <c r="L70" s="2">
        <v>-28151.414219999999</v>
      </c>
      <c r="M70" s="2">
        <v>-25889.341710000001</v>
      </c>
      <c r="N70" s="2">
        <v>-25598.32589</v>
      </c>
      <c r="O70" s="2">
        <v>-25284.746370000001</v>
      </c>
      <c r="P70" s="2">
        <v>-23142.6859</v>
      </c>
      <c r="Q70" s="2">
        <v>-21882.362410000002</v>
      </c>
      <c r="R70" s="2">
        <v>-22830.932270000001</v>
      </c>
    </row>
    <row r="71" spans="1:18" x14ac:dyDescent="0.2">
      <c r="A71" s="25" t="s">
        <v>51</v>
      </c>
      <c r="B71" s="26"/>
      <c r="C71" s="27"/>
      <c r="D71" s="2">
        <f t="shared" si="0"/>
        <v>10878.720580000001</v>
      </c>
      <c r="E71" s="3">
        <f t="shared" si="1"/>
        <v>-3.1095478453525631</v>
      </c>
      <c r="F71" s="3">
        <v>-3498.4895299999998</v>
      </c>
      <c r="G71" s="2">
        <v>-16857.862099999998</v>
      </c>
      <c r="H71" s="2">
        <v>-16694.988840000002</v>
      </c>
      <c r="I71" s="2">
        <v>-9836.6586299999999</v>
      </c>
      <c r="J71" s="2">
        <v>-10226.18557</v>
      </c>
      <c r="K71" s="2">
        <v>-6030.1159799999996</v>
      </c>
      <c r="L71" s="2">
        <v>1393.7987900000001</v>
      </c>
      <c r="M71" s="2">
        <v>7912.9723000000004</v>
      </c>
      <c r="N71" s="2">
        <v>7008.3223399999997</v>
      </c>
      <c r="O71" s="2">
        <v>5138.1565199999995</v>
      </c>
      <c r="P71" s="2">
        <v>828.31470999999999</v>
      </c>
      <c r="Q71" s="2">
        <v>4424.35232</v>
      </c>
      <c r="R71" s="2">
        <v>7380.2310500000003</v>
      </c>
    </row>
    <row r="72" spans="1:18" x14ac:dyDescent="0.2">
      <c r="A72" s="25" t="s">
        <v>52</v>
      </c>
      <c r="B72" s="26"/>
      <c r="C72" s="27"/>
      <c r="D72" s="2">
        <f t="shared" si="0"/>
        <v>0</v>
      </c>
      <c r="E72" s="3">
        <v>0</v>
      </c>
      <c r="F72" s="3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</row>
    <row r="73" spans="1:18" x14ac:dyDescent="0.2">
      <c r="A73" s="25" t="s">
        <v>53</v>
      </c>
      <c r="B73" s="26"/>
      <c r="C73" s="27"/>
      <c r="D73" s="2">
        <f t="shared" si="0"/>
        <v>163409.62251999974</v>
      </c>
      <c r="E73" s="3">
        <f t="shared" si="1"/>
        <v>3.4151550101902961E-2</v>
      </c>
      <c r="F73" s="3">
        <v>4784837.6437499998</v>
      </c>
      <c r="G73" s="2">
        <v>4843385.1691399999</v>
      </c>
      <c r="H73" s="2">
        <v>4842461.2436899999</v>
      </c>
      <c r="I73" s="2">
        <v>4824568.7718900004</v>
      </c>
      <c r="J73" s="2">
        <v>4864396.9783500005</v>
      </c>
      <c r="K73" s="2">
        <v>4877121.3284200002</v>
      </c>
      <c r="L73" s="2">
        <v>5043973.5227100002</v>
      </c>
      <c r="M73" s="2">
        <v>5199563.4108899999</v>
      </c>
      <c r="N73" s="2">
        <v>5139441.2334700003</v>
      </c>
      <c r="O73" s="2">
        <v>5080255.8635600004</v>
      </c>
      <c r="P73" s="2">
        <v>5075358.4357799999</v>
      </c>
      <c r="Q73" s="2">
        <v>5028848.9642700003</v>
      </c>
      <c r="R73" s="2">
        <v>4948247.2662699996</v>
      </c>
    </row>
  </sheetData>
  <mergeCells count="73">
    <mergeCell ref="A71:C71"/>
    <mergeCell ref="A72:C72"/>
    <mergeCell ref="A73:C73"/>
    <mergeCell ref="A66:C66"/>
    <mergeCell ref="A67:C67"/>
    <mergeCell ref="A68:C68"/>
    <mergeCell ref="A69:C69"/>
    <mergeCell ref="A70:C70"/>
    <mergeCell ref="A61:C61"/>
    <mergeCell ref="A62:C62"/>
    <mergeCell ref="A63:C63"/>
    <mergeCell ref="A64:C64"/>
    <mergeCell ref="A65:C65"/>
    <mergeCell ref="A56:C56"/>
    <mergeCell ref="A57:C57"/>
    <mergeCell ref="A58:C58"/>
    <mergeCell ref="A59:C59"/>
    <mergeCell ref="A60:C60"/>
    <mergeCell ref="A51:C51"/>
    <mergeCell ref="A52:C52"/>
    <mergeCell ref="A53:C53"/>
    <mergeCell ref="A54:C54"/>
    <mergeCell ref="A55:C55"/>
    <mergeCell ref="A46:C46"/>
    <mergeCell ref="A47:C47"/>
    <mergeCell ref="A48:C48"/>
    <mergeCell ref="A49:C49"/>
    <mergeCell ref="A50:C50"/>
    <mergeCell ref="A41:C41"/>
    <mergeCell ref="A42:C42"/>
    <mergeCell ref="A43:C43"/>
    <mergeCell ref="A44:C44"/>
    <mergeCell ref="A45:C45"/>
    <mergeCell ref="A36:C36"/>
    <mergeCell ref="A37:C37"/>
    <mergeCell ref="A38:C38"/>
    <mergeCell ref="A39:C39"/>
    <mergeCell ref="A40:C40"/>
    <mergeCell ref="A31:C31"/>
    <mergeCell ref="A32:C32"/>
    <mergeCell ref="A33:C33"/>
    <mergeCell ref="A34:C34"/>
    <mergeCell ref="A35:C35"/>
    <mergeCell ref="A26:C26"/>
    <mergeCell ref="A27:C27"/>
    <mergeCell ref="A28:C28"/>
    <mergeCell ref="A29:C29"/>
    <mergeCell ref="A30:C30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8:R8"/>
    <mergeCell ref="A9:C10"/>
    <mergeCell ref="D9:D10"/>
    <mergeCell ref="E9:E10"/>
    <mergeCell ref="G9:R9"/>
    <mergeCell ref="A1:R1"/>
    <mergeCell ref="A2:R2"/>
    <mergeCell ref="A3:R3"/>
    <mergeCell ref="A4:R6"/>
    <mergeCell ref="A7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POMARES,  ZANET</dc:creator>
  <cp:lastModifiedBy>POMARES,  ZANET</cp:lastModifiedBy>
  <dcterms:created xsi:type="dcterms:W3CDTF">2021-03-03T13:37:39Z</dcterms:created>
  <dcterms:modified xsi:type="dcterms:W3CDTF">2021-03-03T13:46:33Z</dcterms:modified>
</cp:coreProperties>
</file>